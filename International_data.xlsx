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ovira-my.sharepoint.com/personal/39960233-x_epp_urv_cat/Documents/"/>
    </mc:Choice>
  </mc:AlternateContent>
  <xr:revisionPtr revIDLastSave="0" documentId="8_{7D2ADF78-1288-4C40-9FFA-8F39A32516A4}" xr6:coauthVersionLast="47" xr6:coauthVersionMax="47" xr10:uidLastSave="{00000000-0000-0000-0000-000000000000}"/>
  <bookViews>
    <workbookView xWindow="-108" yWindow="-108" windowWidth="23256" windowHeight="12456" firstSheet="3" activeTab="3" xr2:uid="{1294B845-F92E-47BA-9E6A-66C9FF5B6306}"/>
  </bookViews>
  <sheets>
    <sheet name="ESPAÑA" sheetId="1" r:id="rId1"/>
    <sheet name="EEUU" sheetId="2" r:id="rId2"/>
    <sheet name="CHINA" sheetId="3" r:id="rId3"/>
    <sheet name="EUROPA" sheetId="4" r:id="rId4"/>
    <sheet name="TABLA COMPARATIVA" sheetId="5" r:id="rId5"/>
    <sheet name="ESPAÑA VS EUROPA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8" i="5" l="1"/>
  <c r="D69" i="5"/>
  <c r="D70" i="5"/>
  <c r="D67" i="5"/>
  <c r="AB21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3" i="5"/>
  <c r="X21" i="5"/>
  <c r="Y21" i="5"/>
  <c r="Z21" i="5"/>
  <c r="AA21" i="5"/>
  <c r="W21" i="5"/>
  <c r="U21" i="5"/>
  <c r="Q21" i="5"/>
  <c r="R21" i="5"/>
  <c r="S21" i="5"/>
  <c r="T21" i="5"/>
  <c r="P21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3" i="5"/>
  <c r="N21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3" i="5"/>
  <c r="J21" i="5"/>
  <c r="K21" i="5"/>
  <c r="L21" i="5"/>
  <c r="M21" i="5"/>
  <c r="I21" i="5"/>
  <c r="G21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3" i="5"/>
  <c r="C21" i="5"/>
  <c r="D21" i="5"/>
  <c r="E21" i="5"/>
  <c r="F21" i="5"/>
  <c r="B21" i="5"/>
  <c r="B8" i="2"/>
  <c r="B7" i="2"/>
  <c r="B6" i="2"/>
  <c r="B5" i="2"/>
  <c r="B4" i="2"/>
</calcChain>
</file>

<file path=xl/sharedStrings.xml><?xml version="1.0" encoding="utf-8"?>
<sst xmlns="http://schemas.openxmlformats.org/spreadsheetml/2006/main" count="253" uniqueCount="80">
  <si>
    <t>VENTAS VEHÍCULOS ELÉCTRICOS PUROS</t>
  </si>
  <si>
    <t>AÑO</t>
  </si>
  <si>
    <t>PREVISIÓN DE VENTAS</t>
  </si>
  <si>
    <t>FUENTE</t>
  </si>
  <si>
    <t>Fuente ventas reales</t>
  </si>
  <si>
    <t>COCHES</t>
  </si>
  <si>
    <t>FURGONETAS</t>
  </si>
  <si>
    <t>BUSES</t>
  </si>
  <si>
    <t>CAMIONES</t>
  </si>
  <si>
    <t>2 Y 3 RUEDAS</t>
  </si>
  <si>
    <t>https://www.elconfidencial.com/motor/2010-05-18/2-000-vehiculos-electricos-en-2010_701520/</t>
  </si>
  <si>
    <t>https://www.iea.org/data-and-statistics/data-tools/global-ev-data-explorer</t>
  </si>
  <si>
    <t>https://www.eleconomista.es/ecomotor/motor/noticias/2034201/04/10/El-Gobierno-preve-la-venta-de-110000-coches-electricos-en-2014.</t>
  </si>
  <si>
    <t>https://www.idae.es/uploads/documentos/documentos_11905_PAEE_2011_2020.Resumen_Ejecutivo_A2011_24151a66.pdf</t>
  </si>
  <si>
    <t>https://anfac.com/wp-content/uploads/2019/07/ANFAC-Informe%20Anual%202016.pdf</t>
  </si>
  <si>
    <t>https://anfac.com/wp-content/uploads/2019/07/Informe-Anual-ANFAC-2018-ESP.pdf</t>
  </si>
  <si>
    <t>https://anfac.com/wp-content/uploads/2019/07/Informe-Anual-ANFAC-2018.pdf</t>
  </si>
  <si>
    <t>https://aedive.es/noticias/ventas-coches-electricos-subiran-un170-en-2020</t>
  </si>
  <si>
    <t>https://www.miteco.gob.es/content/dam/miteco/es/ministerio/planes-estrategias/plan-nacional-integrado-energia-clima/plannacionalintegradodeenergiayclima2021-2030_tcm30-546623.pdf</t>
  </si>
  <si>
    <t>https://www.elespanol.com/motor/20241120/ventas-coches-electricos-subiran-dispararan/902410241_0.html?</t>
  </si>
  <si>
    <t>https://anfac.com/</t>
  </si>
  <si>
    <t>(enero-marzo)</t>
  </si>
  <si>
    <t>(enero -marzo)</t>
  </si>
  <si>
    <t>PREVISIÓN VENTAS</t>
  </si>
  <si>
    <t>-</t>
  </si>
  <si>
    <t>https://www.energy.gov/sites/prod/files/edg/news/documents/1_Million_Electric_Vehicle_Report_Final.pdf</t>
  </si>
  <si>
    <t>https://www.google.com/search?q=https://www.eia.gov/outlooks/aeo/pdf/0383(2016).pdf&amp;authuser=1    (mirar a la secció de transport)</t>
  </si>
  <si>
    <t>https://electriccarsreport.com/2017/02/global-plug-vehicle-sales-2016/?</t>
  </si>
  <si>
    <t>https://www.edisonfoundation.net/-/media/Files/IEI/publications/IEI_EEI-EV-Forecast-Report_Nov2018.pdf</t>
  </si>
  <si>
    <t>https://www.google.com/search?q=https://www.edmunds.com/industry/press/edmunds-forecasts-17-million-new-cars-will-be-sold-in-2019.html&amp;authuser=1</t>
  </si>
  <si>
    <t>https://www.google.com/search?q=https://www.edmunds.com/industry/press/edmunds-forecasts-171-million-new-cars-will-be-sold-in-2020.html&amp;authuser=1</t>
  </si>
  <si>
    <t>https://www.google.com/search?q=https://www.coxautoinc.com/news/cox-automotive-forecast-2021-u-s-auto-sales/&amp;authuser=1</t>
  </si>
  <si>
    <t>https://www.coxautoinc.com/wp-content/uploads/2023/01/Kelley-Blue-Book-EV-Sales-and-Data-Report-for-Q4-2022.pdf</t>
  </si>
  <si>
    <t>https://www.coxautoinc.com/insights-hub/ev-sales-growth-was-a-highlight-of-2022/</t>
  </si>
  <si>
    <t>https://gizmodo.com/donald-trump-says-stop-electric-car-sales-1851503550#:~:text=The%20automotive%20landscape%20is%20a%20far%20different,grown%20significantly%20in%20the%20last%20eight%20years.</t>
  </si>
  <si>
    <t>https://www.google.com/search?q=https://www.epa.gov/system/files/documents/2024-03/420f24016.pdf&amp;authuser=1</t>
  </si>
  <si>
    <t>https://afdc.energy.gov/data</t>
  </si>
  <si>
    <t>https://www.jdpower.com/business/press-releases/2026-automotive-forum-jd-power-announcement</t>
  </si>
  <si>
    <t>2025: La normativa federal de la EPA proyectaba una cuota del 17% (unos 2,6 millones sobre un mercado de 15,5M). Sin embargo, las previsiones de la industria durante el año ajustaron la cifra a 1,8 millones por la ralentización de la demanda.</t>
  </si>
  <si>
    <t>2026: La senda de la EPA esperaba un salto al 24% de adopción este año (3,8 millones de unidades). La realidad de J.D. Power a inicios de 2026 prevé un estancamiento en torno al 6,9% de cuota minorista (poco más de 1 millón de unidades) tras el fin de los incentivos.</t>
  </si>
  <si>
    <t>PREVISIÓN VENTA</t>
  </si>
  <si>
    <t>PREVISION VENTAS REALES</t>
  </si>
  <si>
    <t>https://www.iea.org/reports/global-ev-outlook-2020#overview</t>
  </si>
  <si>
    <t>https://www.iea.org/reports/global-ev-outlook-2020</t>
  </si>
  <si>
    <t>https://autonews.gasgoo.com/articles/interview_commentary/1023170</t>
  </si>
  <si>
    <t>https://www.iea.org/reports/global-ev-outlook-2024#previous-editions</t>
  </si>
  <si>
    <t>http://www.caam.org.cn/</t>
  </si>
  <si>
    <t>https://mddb.apec.org/documents/2012/AD/AD2/12_ad2_006.pdf</t>
  </si>
  <si>
    <t>https://www.iea.org/reports/global-ev-outlook-2024#overview</t>
  </si>
  <si>
    <t>https://source.benchmarkminerals.com/article/global-ev-sales-reach-20-7-million-units-in-2025-growing-by-20</t>
  </si>
  <si>
    <t>https://www.cmbi.com.hk/upload/202512/20251208629168.pdf</t>
  </si>
  <si>
    <t>https://www.iea.org/reports/global-ev-outlook-2019?utm_source=chatgpt.com</t>
  </si>
  <si>
    <t>https://www.best-selling-cars.com/europe/2011-full-year-car-sales-by-fuel-type-in-european-countries/</t>
  </si>
  <si>
    <t>https://es.scribd.com/document/216275461/Electric-Vehicle-Market</t>
  </si>
  <si>
    <t>https://www.iea.org/reports/global-ev-outlook-2013</t>
  </si>
  <si>
    <t>https://www.acea.auto/fuel-pc/electric-vehicle-registrations-2014/</t>
  </si>
  <si>
    <t>https://www.acea.auto/files/AFV_registrations_Q4_2015_FINAL.pdf</t>
  </si>
  <si>
    <t>https://www.climateaction.org/news/21_increase_in_electric_car_sales_in_2016</t>
  </si>
  <si>
    <t>https://www.iea.org/reports/global-ev-outlook-2017</t>
  </si>
  <si>
    <t>https://ev-volumes.com/news/ev/europe-ev-sales-for-2018/</t>
  </si>
  <si>
    <t>https://uploads.transportenvironment.org/production/files/2019_07_TE_electric_cars_report_final.pdf</t>
  </si>
  <si>
    <t>https://www.iea.org/reports/global-ev-outlook-2021</t>
  </si>
  <si>
    <t>https://www.iea.org/reports/global-ev-outlook-2023</t>
  </si>
  <si>
    <t>https://www.transportenvironment.org/articles/electric-cars-expected-to-reach-up-to-24-market-share-as-carmakers-grow-ev-sales-to-meet-eu-targets-t-e-analysis</t>
  </si>
  <si>
    <t>https://www.acea.auto/</t>
  </si>
  <si>
    <t>https://uploads.transportenvironment.org/production/files/2026_03_EV_progress_report.pdf?dm=1773243963</t>
  </si>
  <si>
    <t>VENTAS VEHÍCULOS ELÉCTRICOS PUROS ESPAÑA</t>
  </si>
  <si>
    <t>VENTAS VEHÍCULOS ELÉCTRICOS PUROS EEUU</t>
  </si>
  <si>
    <t>VENTAS VEHÍCULOS ELÉCTRICOS PUROS CHINA</t>
  </si>
  <si>
    <t>VENTAS VEHÍCULOS ELÉCTRICOS PUROS EUROPA</t>
  </si>
  <si>
    <t>ESPAÑA</t>
  </si>
  <si>
    <t>EEUU</t>
  </si>
  <si>
    <t>CHINA</t>
  </si>
  <si>
    <t>EUROPA</t>
  </si>
  <si>
    <t>TOTAL</t>
  </si>
  <si>
    <t>VENTAS REALES</t>
  </si>
  <si>
    <t>PREVISIÓN OFICIAL</t>
  </si>
  <si>
    <t>DESVIACIÓN (%)</t>
  </si>
  <si>
    <t>PREVISIÓN DE VENTAS ESPAÑA</t>
  </si>
  <si>
    <t>PREVISIÓN VENTAS EUROPA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</si>
</sst>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3" fontId="0" fillId="0" borderId="1" xfId="1" applyNumberFormat="1" applyFont="1" applyBorder="1" applyAlignment="1">
      <alignment horizontal="center" vertical="center"/>
    </xf>
    <xf numFmtId="3" fontId="0" fillId="2" borderId="0" xfId="0" applyNumberFormat="1" applyFill="1"/>
    <xf numFmtId="3" fontId="0" fillId="0" borderId="0" xfId="0" applyNumberFormat="1"/>
    <xf numFmtId="3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 wrapText="1"/>
    </xf>
    <xf numFmtId="0" fontId="0" fillId="0" borderId="1" xfId="0" applyBorder="1"/>
    <xf numFmtId="0" fontId="0" fillId="0" borderId="3" xfId="0" applyBorder="1" applyAlignment="1">
      <alignment horizontal="center" vertical="center"/>
    </xf>
    <xf numFmtId="3" fontId="0" fillId="0" borderId="1" xfId="0" applyNumberFormat="1" applyBorder="1"/>
    <xf numFmtId="1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1" xfId="1" applyNumberFormat="1" applyFont="1" applyBorder="1"/>
    <xf numFmtId="0" fontId="2" fillId="0" borderId="1" xfId="3" applyBorder="1"/>
    <xf numFmtId="1" fontId="3" fillId="0" borderId="1" xfId="3" applyNumberFormat="1" applyFont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3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0" fillId="0" borderId="6" xfId="0" applyBorder="1"/>
    <xf numFmtId="3" fontId="0" fillId="0" borderId="5" xfId="0" applyNumberForma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" fontId="0" fillId="0" borderId="7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vertical="center"/>
    </xf>
    <xf numFmtId="0" fontId="4" fillId="0" borderId="1" xfId="0" applyFont="1" applyBorder="1"/>
    <xf numFmtId="1" fontId="4" fillId="0" borderId="1" xfId="0" applyNumberFormat="1" applyFont="1" applyBorder="1" applyAlignment="1">
      <alignment horizontal="center" vertical="center"/>
    </xf>
    <xf numFmtId="1" fontId="3" fillId="0" borderId="1" xfId="2" applyNumberFormat="1" applyFont="1" applyBorder="1" applyAlignment="1">
      <alignment horizontal="center" vertical="center"/>
    </xf>
    <xf numFmtId="0" fontId="3" fillId="0" borderId="1" xfId="3" applyFont="1" applyBorder="1"/>
    <xf numFmtId="0" fontId="3" fillId="0" borderId="1" xfId="2" applyFont="1" applyBorder="1"/>
    <xf numFmtId="0" fontId="0" fillId="0" borderId="1" xfId="0" applyBorder="1" applyAlignment="1">
      <alignment horizontal="center" vertical="center" wrapText="1"/>
    </xf>
    <xf numFmtId="1" fontId="3" fillId="0" borderId="1" xfId="3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0" borderId="2" xfId="0" applyNumberFormat="1" applyBorder="1" applyAlignment="1">
      <alignment horizontal="center"/>
    </xf>
  </cellXfs>
  <cellStyles count="4">
    <cellStyle name="Hipervínculo" xfId="2" builtinId="8"/>
    <cellStyle name="Hyperlink" xfId="3" xr:uid="{00000000-000B-0000-0000-000008000000}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VENTA DE VEHÍCULOS</a:t>
            </a:r>
            <a:r>
              <a:rPr lang="es-ES" baseline="0"/>
              <a:t> ELÉCTRICOS PUROS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ESPAÑA!$E$2</c:f>
              <c:strCache>
                <c:ptCount val="1"/>
                <c:pt idx="0">
                  <c:v>COCHES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ESPAÑA!$A$3:$A$19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ESPAÑA!$E$3:$E$19</c:f>
              <c:numCache>
                <c:formatCode>_-* #,##0_-;\-* #,##0_-;_-* "-"??_-;_-@_-</c:formatCode>
                <c:ptCount val="17"/>
                <c:pt idx="0">
                  <c:v>76</c:v>
                </c:pt>
                <c:pt idx="1">
                  <c:v>390</c:v>
                </c:pt>
                <c:pt idx="2">
                  <c:v>430</c:v>
                </c:pt>
                <c:pt idx="3">
                  <c:v>810</c:v>
                </c:pt>
                <c:pt idx="4">
                  <c:v>1400</c:v>
                </c:pt>
                <c:pt idx="5">
                  <c:v>1300</c:v>
                </c:pt>
                <c:pt idx="6">
                  <c:v>2000</c:v>
                </c:pt>
                <c:pt idx="7">
                  <c:v>3900</c:v>
                </c:pt>
                <c:pt idx="8">
                  <c:v>6000</c:v>
                </c:pt>
                <c:pt idx="9">
                  <c:v>10000</c:v>
                </c:pt>
                <c:pt idx="10">
                  <c:v>18000</c:v>
                </c:pt>
                <c:pt idx="11">
                  <c:v>24000</c:v>
                </c:pt>
                <c:pt idx="12">
                  <c:v>33000</c:v>
                </c:pt>
                <c:pt idx="13">
                  <c:v>57000</c:v>
                </c:pt>
                <c:pt idx="14">
                  <c:v>62000</c:v>
                </c:pt>
                <c:pt idx="15">
                  <c:v>114000</c:v>
                </c:pt>
                <c:pt idx="16">
                  <c:v>25500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4C-4EA9-ADA3-D7F1AF66DFB3}"/>
            </c:ext>
          </c:extLst>
        </c:ser>
        <c:ser>
          <c:idx val="1"/>
          <c:order val="1"/>
          <c:tx>
            <c:strRef>
              <c:f>ESPAÑA!$F$2</c:f>
              <c:strCache>
                <c:ptCount val="1"/>
                <c:pt idx="0">
                  <c:v>FURGONETAS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ESPAÑA!$A$3:$A$19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ESPAÑA!$F$3:$F$19</c:f>
              <c:numCache>
                <c:formatCode>_-* #,##0_-;\-* #,##0_-;_-* "-"??_-;_-@_-</c:formatCode>
                <c:ptCount val="17"/>
                <c:pt idx="0">
                  <c:v>0</c:v>
                </c:pt>
                <c:pt idx="1">
                  <c:v>24</c:v>
                </c:pt>
                <c:pt idx="2">
                  <c:v>200</c:v>
                </c:pt>
                <c:pt idx="3">
                  <c:v>72</c:v>
                </c:pt>
                <c:pt idx="4">
                  <c:v>360</c:v>
                </c:pt>
                <c:pt idx="5">
                  <c:v>540</c:v>
                </c:pt>
                <c:pt idx="6">
                  <c:v>720</c:v>
                </c:pt>
                <c:pt idx="7">
                  <c:v>840</c:v>
                </c:pt>
                <c:pt idx="8">
                  <c:v>1800</c:v>
                </c:pt>
                <c:pt idx="9">
                  <c:v>1900</c:v>
                </c:pt>
                <c:pt idx="10">
                  <c:v>2000</c:v>
                </c:pt>
                <c:pt idx="11">
                  <c:v>2300</c:v>
                </c:pt>
                <c:pt idx="12">
                  <c:v>3500</c:v>
                </c:pt>
                <c:pt idx="13">
                  <c:v>5300</c:v>
                </c:pt>
                <c:pt idx="14">
                  <c:v>4200</c:v>
                </c:pt>
                <c:pt idx="15">
                  <c:v>9000</c:v>
                </c:pt>
                <c:pt idx="16">
                  <c:v>2300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4C-4EA9-ADA3-D7F1AF66DFB3}"/>
            </c:ext>
          </c:extLst>
        </c:ser>
        <c:ser>
          <c:idx val="2"/>
          <c:order val="2"/>
          <c:tx>
            <c:strRef>
              <c:f>ESPAÑA!$G$2</c:f>
              <c:strCache>
                <c:ptCount val="1"/>
                <c:pt idx="0">
                  <c:v>BUSES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ESPAÑA!$A$3:$A$19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ESPAÑA!$G$3:$G$19</c:f>
              <c:numCache>
                <c:formatCode>_-* #,##0_-;\-* #,##0_-;_-* "-"??_-;_-@_-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</c:v>
                </c:pt>
                <c:pt idx="5">
                  <c:v>2</c:v>
                </c:pt>
                <c:pt idx="6">
                  <c:v>27</c:v>
                </c:pt>
                <c:pt idx="7">
                  <c:v>8</c:v>
                </c:pt>
                <c:pt idx="8">
                  <c:v>30</c:v>
                </c:pt>
                <c:pt idx="9">
                  <c:v>100</c:v>
                </c:pt>
                <c:pt idx="10">
                  <c:v>51</c:v>
                </c:pt>
                <c:pt idx="11">
                  <c:v>150</c:v>
                </c:pt>
                <c:pt idx="12">
                  <c:v>250</c:v>
                </c:pt>
                <c:pt idx="13">
                  <c:v>520</c:v>
                </c:pt>
                <c:pt idx="14">
                  <c:v>620</c:v>
                </c:pt>
                <c:pt idx="15">
                  <c:v>477</c:v>
                </c:pt>
                <c:pt idx="16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4C-4EA9-ADA3-D7F1AF66DFB3}"/>
            </c:ext>
          </c:extLst>
        </c:ser>
        <c:ser>
          <c:idx val="3"/>
          <c:order val="3"/>
          <c:tx>
            <c:strRef>
              <c:f>ESPAÑA!$H$2</c:f>
              <c:strCache>
                <c:ptCount val="1"/>
                <c:pt idx="0">
                  <c:v>CAMIONES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ESPAÑA!$A$3:$A$19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ESPAÑA!$H$3:$H$19</c:f>
              <c:numCache>
                <c:formatCode>_-* #,##0_-;\-* #,##0_-;_-* "-"??_-;_-@_-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13</c:v>
                </c:pt>
                <c:pt idx="7">
                  <c:v>2</c:v>
                </c:pt>
                <c:pt idx="8">
                  <c:v>0</c:v>
                </c:pt>
                <c:pt idx="9">
                  <c:v>7</c:v>
                </c:pt>
                <c:pt idx="10">
                  <c:v>8</c:v>
                </c:pt>
                <c:pt idx="11">
                  <c:v>23</c:v>
                </c:pt>
                <c:pt idx="12">
                  <c:v>210</c:v>
                </c:pt>
                <c:pt idx="13">
                  <c:v>440</c:v>
                </c:pt>
                <c:pt idx="14">
                  <c:v>380</c:v>
                </c:pt>
                <c:pt idx="15">
                  <c:v>130</c:v>
                </c:pt>
                <c:pt idx="16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4C-4EA9-ADA3-D7F1AF66DFB3}"/>
            </c:ext>
          </c:extLst>
        </c:ser>
        <c:ser>
          <c:idx val="4"/>
          <c:order val="4"/>
          <c:tx>
            <c:strRef>
              <c:f>ESPAÑA!$I$2</c:f>
              <c:strCache>
                <c:ptCount val="1"/>
                <c:pt idx="0">
                  <c:v>2 Y 3 RUEDAS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ESPAÑA!$A$3:$A$19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ESPAÑA!$I$3:$I$19</c:f>
              <c:numCache>
                <c:formatCode>_-* #,##0_-;\-* #,##0_-;_-* "-"??_-;_-@_-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2400</c:v>
                </c:pt>
                <c:pt idx="3">
                  <c:v>1700</c:v>
                </c:pt>
                <c:pt idx="4">
                  <c:v>740</c:v>
                </c:pt>
                <c:pt idx="5">
                  <c:v>640</c:v>
                </c:pt>
                <c:pt idx="6">
                  <c:v>1100</c:v>
                </c:pt>
                <c:pt idx="7">
                  <c:v>2400</c:v>
                </c:pt>
                <c:pt idx="8">
                  <c:v>7200</c:v>
                </c:pt>
                <c:pt idx="9">
                  <c:v>11000</c:v>
                </c:pt>
                <c:pt idx="10">
                  <c:v>14000</c:v>
                </c:pt>
                <c:pt idx="11">
                  <c:v>11000</c:v>
                </c:pt>
                <c:pt idx="12">
                  <c:v>16000</c:v>
                </c:pt>
                <c:pt idx="13">
                  <c:v>14000</c:v>
                </c:pt>
                <c:pt idx="14">
                  <c:v>11000</c:v>
                </c:pt>
                <c:pt idx="15">
                  <c:v>20000</c:v>
                </c:pt>
                <c:pt idx="16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4C-4EA9-ADA3-D7F1AF66D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7678463"/>
        <c:axId val="1597674143"/>
      </c:lineChart>
      <c:catAx>
        <c:axId val="1597678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97674143"/>
        <c:crosses val="autoZero"/>
        <c:auto val="1"/>
        <c:lblAlgn val="ctr"/>
        <c:lblOffset val="100"/>
        <c:noMultiLvlLbl val="0"/>
      </c:catAx>
      <c:valAx>
        <c:axId val="159767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97678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VENTA VEHÍCULOS ELÉCTRICOS</a:t>
            </a:r>
            <a:r>
              <a:rPr lang="es-ES" baseline="0"/>
              <a:t> PUROS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7652870008729044E-2"/>
          <c:y val="7.2158273381294977E-2"/>
          <c:w val="0.90569938122093419"/>
          <c:h val="0.80056742007968429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EEUU!$E$2</c:f>
              <c:strCache>
                <c:ptCount val="1"/>
                <c:pt idx="0">
                  <c:v>COCHES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EEUU!$A$3:$A$19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EEUU!$E$3:$E$19</c:f>
              <c:numCache>
                <c:formatCode>#,##0</c:formatCode>
                <c:ptCount val="17"/>
                <c:pt idx="0">
                  <c:v>1200</c:v>
                </c:pt>
                <c:pt idx="1">
                  <c:v>9800</c:v>
                </c:pt>
                <c:pt idx="2">
                  <c:v>15000</c:v>
                </c:pt>
                <c:pt idx="3">
                  <c:v>48000</c:v>
                </c:pt>
                <c:pt idx="4">
                  <c:v>63000</c:v>
                </c:pt>
                <c:pt idx="5">
                  <c:v>71000</c:v>
                </c:pt>
                <c:pt idx="6">
                  <c:v>87000</c:v>
                </c:pt>
                <c:pt idx="7">
                  <c:v>100000</c:v>
                </c:pt>
                <c:pt idx="8">
                  <c:v>240000</c:v>
                </c:pt>
                <c:pt idx="9">
                  <c:v>240000</c:v>
                </c:pt>
                <c:pt idx="10">
                  <c:v>230000</c:v>
                </c:pt>
                <c:pt idx="11">
                  <c:v>470000</c:v>
                </c:pt>
                <c:pt idx="12">
                  <c:v>800000</c:v>
                </c:pt>
                <c:pt idx="13">
                  <c:v>1100000</c:v>
                </c:pt>
                <c:pt idx="14">
                  <c:v>1200000</c:v>
                </c:pt>
                <c:pt idx="15">
                  <c:v>1275714</c:v>
                </c:pt>
                <c:pt idx="16">
                  <c:v>212600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59-47C4-8F45-D3D3A02D4738}"/>
            </c:ext>
          </c:extLst>
        </c:ser>
        <c:ser>
          <c:idx val="1"/>
          <c:order val="1"/>
          <c:tx>
            <c:strRef>
              <c:f>EEUU!$F$2</c:f>
              <c:strCache>
                <c:ptCount val="1"/>
                <c:pt idx="0">
                  <c:v>FURGONETAS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EEUU!$A$3:$A$19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EEUU!$F$3:$F$19</c:f>
              <c:numCache>
                <c:formatCode>#,##0</c:formatCode>
                <c:ptCount val="17"/>
                <c:pt idx="0">
                  <c:v>10</c:v>
                </c:pt>
                <c:pt idx="1">
                  <c:v>180</c:v>
                </c:pt>
                <c:pt idx="2">
                  <c:v>820</c:v>
                </c:pt>
                <c:pt idx="3">
                  <c:v>1100</c:v>
                </c:pt>
                <c:pt idx="4">
                  <c:v>1500</c:v>
                </c:pt>
                <c:pt idx="5">
                  <c:v>1100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15</c:v>
                </c:pt>
                <c:pt idx="12">
                  <c:v>9000</c:v>
                </c:pt>
                <c:pt idx="13">
                  <c:v>17000</c:v>
                </c:pt>
                <c:pt idx="14">
                  <c:v>26000</c:v>
                </c:pt>
                <c:pt idx="15">
                  <c:v>18500</c:v>
                </c:pt>
                <c:pt idx="16">
                  <c:v>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59-47C4-8F45-D3D3A02D4738}"/>
            </c:ext>
          </c:extLst>
        </c:ser>
        <c:ser>
          <c:idx val="2"/>
          <c:order val="2"/>
          <c:tx>
            <c:strRef>
              <c:f>EEUU!$G$2</c:f>
              <c:strCache>
                <c:ptCount val="1"/>
                <c:pt idx="0">
                  <c:v>BUSES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EEUU!$A$3:$A$19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EEUU!$G$3:$G$19</c:f>
              <c:numCache>
                <c:formatCode>#,##0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21</c:v>
                </c:pt>
                <c:pt idx="5">
                  <c:v>44</c:v>
                </c:pt>
                <c:pt idx="6">
                  <c:v>330</c:v>
                </c:pt>
                <c:pt idx="7">
                  <c:v>150</c:v>
                </c:pt>
                <c:pt idx="8">
                  <c:v>470</c:v>
                </c:pt>
                <c:pt idx="9">
                  <c:v>560</c:v>
                </c:pt>
                <c:pt idx="10">
                  <c:v>660</c:v>
                </c:pt>
                <c:pt idx="11">
                  <c:v>500</c:v>
                </c:pt>
                <c:pt idx="12">
                  <c:v>1000</c:v>
                </c:pt>
                <c:pt idx="13">
                  <c:v>3600</c:v>
                </c:pt>
                <c:pt idx="14">
                  <c:v>2200</c:v>
                </c:pt>
                <c:pt idx="15">
                  <c:v>3800</c:v>
                </c:pt>
                <c:pt idx="16">
                  <c:v>1150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59-47C4-8F45-D3D3A02D4738}"/>
            </c:ext>
          </c:extLst>
        </c:ser>
        <c:ser>
          <c:idx val="3"/>
          <c:order val="3"/>
          <c:tx>
            <c:strRef>
              <c:f>EEUU!$H$2</c:f>
              <c:strCache>
                <c:ptCount val="1"/>
                <c:pt idx="0">
                  <c:v>CAMIONES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EEUU!$A$3:$A$19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EEUU!$H$3:$H$19</c:f>
              <c:numCache>
                <c:formatCode>#,##0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297</c:v>
                </c:pt>
                <c:pt idx="8">
                  <c:v>132</c:v>
                </c:pt>
                <c:pt idx="9">
                  <c:v>189</c:v>
                </c:pt>
                <c:pt idx="10">
                  <c:v>383</c:v>
                </c:pt>
                <c:pt idx="11">
                  <c:v>803</c:v>
                </c:pt>
                <c:pt idx="12">
                  <c:v>9842</c:v>
                </c:pt>
                <c:pt idx="13">
                  <c:v>25378</c:v>
                </c:pt>
                <c:pt idx="14">
                  <c:v>22692</c:v>
                </c:pt>
                <c:pt idx="15">
                  <c:v>28500</c:v>
                </c:pt>
                <c:pt idx="16">
                  <c:v>7800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59-47C4-8F45-D3D3A02D4738}"/>
            </c:ext>
          </c:extLst>
        </c:ser>
        <c:ser>
          <c:idx val="4"/>
          <c:order val="4"/>
          <c:tx>
            <c:strRef>
              <c:f>EEUU!$I$2</c:f>
              <c:strCache>
                <c:ptCount val="1"/>
                <c:pt idx="0">
                  <c:v>2 Y 3 RUEDAS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numRef>
              <c:f>EEUU!$A$3:$A$19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EEUU!$I$3:$I$19</c:f>
              <c:numCache>
                <c:formatCode>#,##0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460</c:v>
                </c:pt>
                <c:pt idx="3">
                  <c:v>650</c:v>
                </c:pt>
                <c:pt idx="4">
                  <c:v>780</c:v>
                </c:pt>
                <c:pt idx="5">
                  <c:v>1100</c:v>
                </c:pt>
                <c:pt idx="6">
                  <c:v>1700</c:v>
                </c:pt>
                <c:pt idx="7">
                  <c:v>2300</c:v>
                </c:pt>
                <c:pt idx="8">
                  <c:v>2800</c:v>
                </c:pt>
                <c:pt idx="9">
                  <c:v>6300</c:v>
                </c:pt>
                <c:pt idx="10">
                  <c:v>8000</c:v>
                </c:pt>
                <c:pt idx="11">
                  <c:v>8900</c:v>
                </c:pt>
                <c:pt idx="12">
                  <c:v>9600</c:v>
                </c:pt>
                <c:pt idx="13">
                  <c:v>7800</c:v>
                </c:pt>
                <c:pt idx="14">
                  <c:v>7100</c:v>
                </c:pt>
                <c:pt idx="15">
                  <c:v>9200</c:v>
                </c:pt>
                <c:pt idx="16">
                  <c:v>2650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59-47C4-8F45-D3D3A02D4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62857007"/>
        <c:axId val="1262857487"/>
        <c:axId val="0"/>
      </c:bar3DChart>
      <c:catAx>
        <c:axId val="126285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2857487"/>
        <c:crosses val="autoZero"/>
        <c:auto val="1"/>
        <c:lblAlgn val="ctr"/>
        <c:lblOffset val="100"/>
        <c:noMultiLvlLbl val="0"/>
      </c:catAx>
      <c:valAx>
        <c:axId val="126285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285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VENTA VEHÍCULOS ELÉCTRICOS</a:t>
            </a:r>
            <a:r>
              <a:rPr lang="es-ES" baseline="0"/>
              <a:t> PUROS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CHINA!$E$2</c:f>
              <c:strCache>
                <c:ptCount val="1"/>
                <c:pt idx="0">
                  <c:v>COCHES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CHINA!$A$3:$A$19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CHINA!$E$3:$E$19</c:f>
              <c:numCache>
                <c:formatCode>0</c:formatCode>
                <c:ptCount val="17"/>
                <c:pt idx="0">
                  <c:v>1100</c:v>
                </c:pt>
                <c:pt idx="1">
                  <c:v>4800</c:v>
                </c:pt>
                <c:pt idx="2">
                  <c:v>9600</c:v>
                </c:pt>
                <c:pt idx="3">
                  <c:v>15000</c:v>
                </c:pt>
                <c:pt idx="4">
                  <c:v>49000</c:v>
                </c:pt>
                <c:pt idx="5">
                  <c:v>150000</c:v>
                </c:pt>
                <c:pt idx="6">
                  <c:v>260000</c:v>
                </c:pt>
                <c:pt idx="7">
                  <c:v>470000</c:v>
                </c:pt>
                <c:pt idx="8">
                  <c:v>820000</c:v>
                </c:pt>
                <c:pt idx="9">
                  <c:v>83000</c:v>
                </c:pt>
                <c:pt idx="10">
                  <c:v>920000</c:v>
                </c:pt>
                <c:pt idx="11">
                  <c:v>2700000</c:v>
                </c:pt>
                <c:pt idx="12">
                  <c:v>4400000</c:v>
                </c:pt>
                <c:pt idx="13">
                  <c:v>5400000</c:v>
                </c:pt>
                <c:pt idx="14">
                  <c:v>6400000</c:v>
                </c:pt>
                <c:pt idx="15">
                  <c:v>8300000</c:v>
                </c:pt>
                <c:pt idx="16">
                  <c:v>1300000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BC-4B99-AE60-0FBC822C783D}"/>
            </c:ext>
          </c:extLst>
        </c:ser>
        <c:ser>
          <c:idx val="1"/>
          <c:order val="1"/>
          <c:tx>
            <c:strRef>
              <c:f>CHINA!$F$2</c:f>
              <c:strCache>
                <c:ptCount val="1"/>
                <c:pt idx="0">
                  <c:v>FURGONETAS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CHINA!$A$3:$A$19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CHINA!$F$3:$F$19</c:f>
              <c:numCache>
                <c:formatCode>0</c:formatCode>
                <c:ptCount val="17"/>
                <c:pt idx="0">
                  <c:v>120</c:v>
                </c:pt>
                <c:pt idx="1">
                  <c:v>150</c:v>
                </c:pt>
                <c:pt idx="2">
                  <c:v>670</c:v>
                </c:pt>
                <c:pt idx="3">
                  <c:v>750</c:v>
                </c:pt>
                <c:pt idx="4">
                  <c:v>480</c:v>
                </c:pt>
                <c:pt idx="5">
                  <c:v>15000</c:v>
                </c:pt>
                <c:pt idx="6">
                  <c:v>11000</c:v>
                </c:pt>
                <c:pt idx="7">
                  <c:v>68000</c:v>
                </c:pt>
                <c:pt idx="8">
                  <c:v>54000</c:v>
                </c:pt>
                <c:pt idx="9">
                  <c:v>27000</c:v>
                </c:pt>
                <c:pt idx="10">
                  <c:v>26000</c:v>
                </c:pt>
                <c:pt idx="11">
                  <c:v>71000</c:v>
                </c:pt>
                <c:pt idx="12">
                  <c:v>170000</c:v>
                </c:pt>
                <c:pt idx="13">
                  <c:v>240000</c:v>
                </c:pt>
                <c:pt idx="14">
                  <c:v>450000</c:v>
                </c:pt>
                <c:pt idx="15">
                  <c:v>650000</c:v>
                </c:pt>
                <c:pt idx="16">
                  <c:v>135000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BC-4B99-AE60-0FBC822C783D}"/>
            </c:ext>
          </c:extLst>
        </c:ser>
        <c:ser>
          <c:idx val="2"/>
          <c:order val="2"/>
          <c:tx>
            <c:strRef>
              <c:f>CHINA!$G$2</c:f>
              <c:strCache>
                <c:ptCount val="1"/>
                <c:pt idx="0">
                  <c:v>BUSES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CHINA!$A$3:$A$19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CHINA!$G$3:$G$19</c:f>
              <c:numCache>
                <c:formatCode>0</c:formatCode>
                <c:ptCount val="17"/>
                <c:pt idx="0">
                  <c:v>970</c:v>
                </c:pt>
                <c:pt idx="1">
                  <c:v>440</c:v>
                </c:pt>
                <c:pt idx="2">
                  <c:v>1400</c:v>
                </c:pt>
                <c:pt idx="3">
                  <c:v>2000</c:v>
                </c:pt>
                <c:pt idx="4">
                  <c:v>4000</c:v>
                </c:pt>
                <c:pt idx="5">
                  <c:v>43000</c:v>
                </c:pt>
                <c:pt idx="6">
                  <c:v>76000</c:v>
                </c:pt>
                <c:pt idx="7">
                  <c:v>88000</c:v>
                </c:pt>
                <c:pt idx="8">
                  <c:v>83000</c:v>
                </c:pt>
                <c:pt idx="9">
                  <c:v>68000</c:v>
                </c:pt>
                <c:pt idx="10">
                  <c:v>55000</c:v>
                </c:pt>
                <c:pt idx="11">
                  <c:v>42000</c:v>
                </c:pt>
                <c:pt idx="12">
                  <c:v>44000</c:v>
                </c:pt>
                <c:pt idx="13">
                  <c:v>31000</c:v>
                </c:pt>
                <c:pt idx="14">
                  <c:v>48000</c:v>
                </c:pt>
                <c:pt idx="15">
                  <c:v>85000</c:v>
                </c:pt>
                <c:pt idx="16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BC-4B99-AE60-0FBC822C783D}"/>
            </c:ext>
          </c:extLst>
        </c:ser>
        <c:ser>
          <c:idx val="3"/>
          <c:order val="3"/>
          <c:tx>
            <c:strRef>
              <c:f>CHINA!$H$2</c:f>
              <c:strCache>
                <c:ptCount val="1"/>
                <c:pt idx="0">
                  <c:v>CAMIONES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CHINA!$A$3:$A$19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CHINA!$H$3:$H$19</c:f>
              <c:numCache>
                <c:formatCode>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17000</c:v>
                </c:pt>
                <c:pt idx="6">
                  <c:v>46000</c:v>
                </c:pt>
                <c:pt idx="7">
                  <c:v>71000</c:v>
                </c:pt>
                <c:pt idx="8">
                  <c:v>36000</c:v>
                </c:pt>
                <c:pt idx="9">
                  <c:v>24000</c:v>
                </c:pt>
                <c:pt idx="10">
                  <c:v>17000</c:v>
                </c:pt>
                <c:pt idx="11">
                  <c:v>12000</c:v>
                </c:pt>
                <c:pt idx="12">
                  <c:v>27000</c:v>
                </c:pt>
                <c:pt idx="13">
                  <c:v>36000</c:v>
                </c:pt>
                <c:pt idx="14">
                  <c:v>76000</c:v>
                </c:pt>
                <c:pt idx="15">
                  <c:v>230000</c:v>
                </c:pt>
                <c:pt idx="16">
                  <c:v>45000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BC-4B99-AE60-0FBC822C783D}"/>
            </c:ext>
          </c:extLst>
        </c:ser>
        <c:ser>
          <c:idx val="4"/>
          <c:order val="4"/>
          <c:tx>
            <c:strRef>
              <c:f>CHINA!$I$2</c:f>
              <c:strCache>
                <c:ptCount val="1"/>
                <c:pt idx="0">
                  <c:v>2 Y 3 RUEDAS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CHINA!$A$3:$A$19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CHINA!$I$3:$I$19</c:f>
              <c:numCache>
                <c:formatCode>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1700000</c:v>
                </c:pt>
                <c:pt idx="3">
                  <c:v>2000000</c:v>
                </c:pt>
                <c:pt idx="4">
                  <c:v>2400000</c:v>
                </c:pt>
                <c:pt idx="5">
                  <c:v>2700000</c:v>
                </c:pt>
                <c:pt idx="6">
                  <c:v>2800000</c:v>
                </c:pt>
                <c:pt idx="7">
                  <c:v>3200000</c:v>
                </c:pt>
                <c:pt idx="8">
                  <c:v>4500000</c:v>
                </c:pt>
                <c:pt idx="9">
                  <c:v>5800000</c:v>
                </c:pt>
                <c:pt idx="10">
                  <c:v>8200000</c:v>
                </c:pt>
                <c:pt idx="11">
                  <c:v>11000000</c:v>
                </c:pt>
                <c:pt idx="12">
                  <c:v>8000000</c:v>
                </c:pt>
                <c:pt idx="13">
                  <c:v>7800000</c:v>
                </c:pt>
                <c:pt idx="14">
                  <c:v>7200000</c:v>
                </c:pt>
                <c:pt idx="15">
                  <c:v>12600000</c:v>
                </c:pt>
                <c:pt idx="16">
                  <c:v>2800000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BC-4B99-AE60-0FBC822C7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7641023"/>
        <c:axId val="1597646783"/>
      </c:lineChart>
      <c:catAx>
        <c:axId val="159764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97646783"/>
        <c:crosses val="autoZero"/>
        <c:auto val="1"/>
        <c:lblAlgn val="ctr"/>
        <c:lblOffset val="100"/>
        <c:noMultiLvlLbl val="0"/>
      </c:catAx>
      <c:valAx>
        <c:axId val="159764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9764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VENTA VEHÍCULOS ELÉCTRICOS</a:t>
            </a:r>
            <a:r>
              <a:rPr lang="es-ES" baseline="0"/>
              <a:t> PUROS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EUROPA!$E$2</c:f>
              <c:strCache>
                <c:ptCount val="1"/>
                <c:pt idx="0">
                  <c:v>COCHES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EUROPA!$A$3:$A$19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EUROPA!$E$3:$E$19</c:f>
              <c:numCache>
                <c:formatCode>0</c:formatCode>
                <c:ptCount val="17"/>
                <c:pt idx="0">
                  <c:v>1700</c:v>
                </c:pt>
                <c:pt idx="1">
                  <c:v>11000</c:v>
                </c:pt>
                <c:pt idx="2">
                  <c:v>19000</c:v>
                </c:pt>
                <c:pt idx="3">
                  <c:v>33000</c:v>
                </c:pt>
                <c:pt idx="4">
                  <c:v>62000</c:v>
                </c:pt>
                <c:pt idx="5">
                  <c:v>89000</c:v>
                </c:pt>
                <c:pt idx="6">
                  <c:v>93000</c:v>
                </c:pt>
                <c:pt idx="7">
                  <c:v>140000</c:v>
                </c:pt>
                <c:pt idx="8">
                  <c:v>200000</c:v>
                </c:pt>
                <c:pt idx="9">
                  <c:v>360000</c:v>
                </c:pt>
                <c:pt idx="10">
                  <c:v>750000</c:v>
                </c:pt>
                <c:pt idx="11">
                  <c:v>1200000</c:v>
                </c:pt>
                <c:pt idx="12">
                  <c:v>1600000</c:v>
                </c:pt>
                <c:pt idx="13">
                  <c:v>2200000</c:v>
                </c:pt>
                <c:pt idx="14">
                  <c:v>2200000</c:v>
                </c:pt>
                <c:pt idx="15">
                  <c:v>2580000</c:v>
                </c:pt>
                <c:pt idx="16">
                  <c:v>515000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3F-4768-BE18-CCE796D2CFBA}"/>
            </c:ext>
          </c:extLst>
        </c:ser>
        <c:ser>
          <c:idx val="1"/>
          <c:order val="1"/>
          <c:tx>
            <c:strRef>
              <c:f>EUROPA!$F$2</c:f>
              <c:strCache>
                <c:ptCount val="1"/>
                <c:pt idx="0">
                  <c:v>FURGONETAS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EUROPA!$A$3:$A$19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EUROPA!$F$3:$F$19</c:f>
              <c:numCache>
                <c:formatCode>0</c:formatCode>
                <c:ptCount val="17"/>
                <c:pt idx="0">
                  <c:v>1000</c:v>
                </c:pt>
                <c:pt idx="1">
                  <c:v>2000</c:v>
                </c:pt>
                <c:pt idx="2">
                  <c:v>6900</c:v>
                </c:pt>
                <c:pt idx="3">
                  <c:v>7400</c:v>
                </c:pt>
                <c:pt idx="4">
                  <c:v>8300</c:v>
                </c:pt>
                <c:pt idx="5">
                  <c:v>9600</c:v>
                </c:pt>
                <c:pt idx="6">
                  <c:v>12000</c:v>
                </c:pt>
                <c:pt idx="7">
                  <c:v>15000</c:v>
                </c:pt>
                <c:pt idx="8">
                  <c:v>23000</c:v>
                </c:pt>
                <c:pt idx="9">
                  <c:v>27000</c:v>
                </c:pt>
                <c:pt idx="10">
                  <c:v>35000</c:v>
                </c:pt>
                <c:pt idx="11">
                  <c:v>57000</c:v>
                </c:pt>
                <c:pt idx="12">
                  <c:v>86000</c:v>
                </c:pt>
                <c:pt idx="13">
                  <c:v>130000</c:v>
                </c:pt>
                <c:pt idx="14">
                  <c:v>110000</c:v>
                </c:pt>
                <c:pt idx="15">
                  <c:v>145000</c:v>
                </c:pt>
                <c:pt idx="16">
                  <c:v>32000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3F-4768-BE18-CCE796D2CFBA}"/>
            </c:ext>
          </c:extLst>
        </c:ser>
        <c:ser>
          <c:idx val="2"/>
          <c:order val="2"/>
          <c:tx>
            <c:strRef>
              <c:f>EUROPA!$G$2</c:f>
              <c:strCache>
                <c:ptCount val="1"/>
                <c:pt idx="0">
                  <c:v>BUSES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EUROPA!$A$3:$A$19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EUROPA!$G$3:$G$19</c:f>
              <c:numCache>
                <c:formatCode>0</c:formatCode>
                <c:ptCount val="17"/>
                <c:pt idx="0">
                  <c:v>130</c:v>
                </c:pt>
                <c:pt idx="1">
                  <c:v>38</c:v>
                </c:pt>
                <c:pt idx="2">
                  <c:v>68</c:v>
                </c:pt>
                <c:pt idx="3">
                  <c:v>120</c:v>
                </c:pt>
                <c:pt idx="4">
                  <c:v>310</c:v>
                </c:pt>
                <c:pt idx="5">
                  <c:v>190</c:v>
                </c:pt>
                <c:pt idx="6">
                  <c:v>570</c:v>
                </c:pt>
                <c:pt idx="7">
                  <c:v>570</c:v>
                </c:pt>
                <c:pt idx="8">
                  <c:v>800</c:v>
                </c:pt>
                <c:pt idx="9">
                  <c:v>2000</c:v>
                </c:pt>
                <c:pt idx="10">
                  <c:v>2400</c:v>
                </c:pt>
                <c:pt idx="11">
                  <c:v>3900</c:v>
                </c:pt>
                <c:pt idx="12">
                  <c:v>4900</c:v>
                </c:pt>
                <c:pt idx="13">
                  <c:v>8300</c:v>
                </c:pt>
                <c:pt idx="14">
                  <c:v>9600</c:v>
                </c:pt>
                <c:pt idx="15">
                  <c:v>10500</c:v>
                </c:pt>
                <c:pt idx="16">
                  <c:v>2100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3F-4768-BE18-CCE796D2CFBA}"/>
            </c:ext>
          </c:extLst>
        </c:ser>
        <c:ser>
          <c:idx val="3"/>
          <c:order val="3"/>
          <c:tx>
            <c:strRef>
              <c:f>EUROPA!$H$2</c:f>
              <c:strCache>
                <c:ptCount val="1"/>
                <c:pt idx="0">
                  <c:v>CAMIONES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EUROPA!$A$3:$A$19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EUROPA!$H$3:$H$19</c:f>
              <c:numCache>
                <c:formatCode>0</c:formatCode>
                <c:ptCount val="17"/>
                <c:pt idx="0">
                  <c:v>36</c:v>
                </c:pt>
                <c:pt idx="1">
                  <c:v>18</c:v>
                </c:pt>
                <c:pt idx="2">
                  <c:v>19</c:v>
                </c:pt>
                <c:pt idx="3">
                  <c:v>24</c:v>
                </c:pt>
                <c:pt idx="4">
                  <c:v>46</c:v>
                </c:pt>
                <c:pt idx="5">
                  <c:v>30</c:v>
                </c:pt>
                <c:pt idx="6">
                  <c:v>62</c:v>
                </c:pt>
                <c:pt idx="7">
                  <c:v>47</c:v>
                </c:pt>
                <c:pt idx="8">
                  <c:v>390</c:v>
                </c:pt>
                <c:pt idx="9">
                  <c:v>850</c:v>
                </c:pt>
                <c:pt idx="10">
                  <c:v>1100</c:v>
                </c:pt>
                <c:pt idx="11">
                  <c:v>1800</c:v>
                </c:pt>
                <c:pt idx="12">
                  <c:v>3600</c:v>
                </c:pt>
                <c:pt idx="13">
                  <c:v>11000</c:v>
                </c:pt>
                <c:pt idx="14">
                  <c:v>12000</c:v>
                </c:pt>
                <c:pt idx="15">
                  <c:v>155000</c:v>
                </c:pt>
                <c:pt idx="16">
                  <c:v>3400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3F-4768-BE18-CCE796D2CFBA}"/>
            </c:ext>
          </c:extLst>
        </c:ser>
        <c:ser>
          <c:idx val="4"/>
          <c:order val="4"/>
          <c:tx>
            <c:strRef>
              <c:f>EUROPA!$I$2</c:f>
              <c:strCache>
                <c:ptCount val="1"/>
                <c:pt idx="0">
                  <c:v>2 Y 3 RUEDAS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EUROPA!$A$3:$A$19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EUROPA!$I$3:$I$19</c:f>
              <c:numCache>
                <c:formatCode>0</c:formatCode>
                <c:ptCount val="17"/>
                <c:pt idx="0">
                  <c:v>560</c:v>
                </c:pt>
                <c:pt idx="1">
                  <c:v>480</c:v>
                </c:pt>
                <c:pt idx="2">
                  <c:v>12000</c:v>
                </c:pt>
                <c:pt idx="3">
                  <c:v>8400</c:v>
                </c:pt>
                <c:pt idx="4">
                  <c:v>9400</c:v>
                </c:pt>
                <c:pt idx="5">
                  <c:v>14000</c:v>
                </c:pt>
                <c:pt idx="6">
                  <c:v>19000</c:v>
                </c:pt>
                <c:pt idx="7">
                  <c:v>31000</c:v>
                </c:pt>
                <c:pt idx="8">
                  <c:v>47000</c:v>
                </c:pt>
                <c:pt idx="9">
                  <c:v>76000</c:v>
                </c:pt>
                <c:pt idx="10">
                  <c:v>96000</c:v>
                </c:pt>
                <c:pt idx="11">
                  <c:v>120000</c:v>
                </c:pt>
                <c:pt idx="12">
                  <c:v>180000</c:v>
                </c:pt>
                <c:pt idx="13">
                  <c:v>200000</c:v>
                </c:pt>
                <c:pt idx="14">
                  <c:v>230000</c:v>
                </c:pt>
                <c:pt idx="15">
                  <c:v>255000</c:v>
                </c:pt>
                <c:pt idx="16">
                  <c:v>52000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3F-4768-BE18-CCE796D2C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2854127"/>
        <c:axId val="1262847887"/>
      </c:lineChart>
      <c:catAx>
        <c:axId val="126285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2847887"/>
        <c:crosses val="autoZero"/>
        <c:auto val="1"/>
        <c:lblAlgn val="ctr"/>
        <c:lblOffset val="100"/>
        <c:noMultiLvlLbl val="0"/>
      </c:catAx>
      <c:valAx>
        <c:axId val="126284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285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DIFERENCIA VENTA POR AÑOS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'TABLA COMPARATIVA'!$B$27</c:f>
              <c:strCache>
                <c:ptCount val="1"/>
                <c:pt idx="0">
                  <c:v>ESPAÑA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'TABLA COMPARATIVA'!$A$28:$A$44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'TABLA COMPARATIVA'!$B$28:$B$44</c:f>
              <c:numCache>
                <c:formatCode>#,##0</c:formatCode>
                <c:ptCount val="17"/>
                <c:pt idx="0">
                  <c:v>76</c:v>
                </c:pt>
                <c:pt idx="1">
                  <c:v>414</c:v>
                </c:pt>
                <c:pt idx="2">
                  <c:v>3030</c:v>
                </c:pt>
                <c:pt idx="3">
                  <c:v>2582</c:v>
                </c:pt>
                <c:pt idx="4">
                  <c:v>2511</c:v>
                </c:pt>
                <c:pt idx="5">
                  <c:v>2482</c:v>
                </c:pt>
                <c:pt idx="6">
                  <c:v>3860</c:v>
                </c:pt>
                <c:pt idx="7">
                  <c:v>7150</c:v>
                </c:pt>
                <c:pt idx="8">
                  <c:v>15030</c:v>
                </c:pt>
                <c:pt idx="9">
                  <c:v>23007</c:v>
                </c:pt>
                <c:pt idx="10">
                  <c:v>34059</c:v>
                </c:pt>
                <c:pt idx="11">
                  <c:v>37473</c:v>
                </c:pt>
                <c:pt idx="12">
                  <c:v>52960</c:v>
                </c:pt>
                <c:pt idx="13">
                  <c:v>77260</c:v>
                </c:pt>
                <c:pt idx="14">
                  <c:v>78200</c:v>
                </c:pt>
                <c:pt idx="15">
                  <c:v>143607</c:v>
                </c:pt>
                <c:pt idx="16">
                  <c:v>30690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59-4390-B297-13137AEE5801}"/>
            </c:ext>
          </c:extLst>
        </c:ser>
        <c:ser>
          <c:idx val="1"/>
          <c:order val="1"/>
          <c:tx>
            <c:strRef>
              <c:f>'TABLA COMPARATIVA'!$C$27</c:f>
              <c:strCache>
                <c:ptCount val="1"/>
                <c:pt idx="0">
                  <c:v>EEUU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'TABLA COMPARATIVA'!$A$28:$A$44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'TABLA COMPARATIVA'!$C$28:$C$44</c:f>
              <c:numCache>
                <c:formatCode>#,##0</c:formatCode>
                <c:ptCount val="17"/>
                <c:pt idx="0">
                  <c:v>1210</c:v>
                </c:pt>
                <c:pt idx="1">
                  <c:v>9980</c:v>
                </c:pt>
                <c:pt idx="2">
                  <c:v>16280</c:v>
                </c:pt>
                <c:pt idx="3">
                  <c:v>49750</c:v>
                </c:pt>
                <c:pt idx="4">
                  <c:v>65301</c:v>
                </c:pt>
                <c:pt idx="5">
                  <c:v>73244</c:v>
                </c:pt>
                <c:pt idx="6">
                  <c:v>89030</c:v>
                </c:pt>
                <c:pt idx="7">
                  <c:v>102747</c:v>
                </c:pt>
                <c:pt idx="8">
                  <c:v>243402</c:v>
                </c:pt>
                <c:pt idx="9">
                  <c:v>247049</c:v>
                </c:pt>
                <c:pt idx="10">
                  <c:v>239043</c:v>
                </c:pt>
                <c:pt idx="11">
                  <c:v>480218</c:v>
                </c:pt>
                <c:pt idx="12">
                  <c:v>829442</c:v>
                </c:pt>
                <c:pt idx="13">
                  <c:v>1153778</c:v>
                </c:pt>
                <c:pt idx="14">
                  <c:v>1257992</c:v>
                </c:pt>
                <c:pt idx="15">
                  <c:v>1335714</c:v>
                </c:pt>
                <c:pt idx="16">
                  <c:v>229300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59-4390-B297-13137AEE5801}"/>
            </c:ext>
          </c:extLst>
        </c:ser>
        <c:ser>
          <c:idx val="2"/>
          <c:order val="2"/>
          <c:tx>
            <c:strRef>
              <c:f>'TABLA COMPARATIVA'!$D$27</c:f>
              <c:strCache>
                <c:ptCount val="1"/>
                <c:pt idx="0">
                  <c:v>CHINA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'TABLA COMPARATIVA'!$A$28:$A$44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'TABLA COMPARATIVA'!$D$28:$D$44</c:f>
              <c:numCache>
                <c:formatCode>#,##0</c:formatCode>
                <c:ptCount val="17"/>
                <c:pt idx="0">
                  <c:v>2190</c:v>
                </c:pt>
                <c:pt idx="1">
                  <c:v>5390</c:v>
                </c:pt>
                <c:pt idx="2">
                  <c:v>1711670</c:v>
                </c:pt>
                <c:pt idx="3">
                  <c:v>2017750</c:v>
                </c:pt>
                <c:pt idx="4">
                  <c:v>2453480</c:v>
                </c:pt>
                <c:pt idx="5">
                  <c:v>2925000</c:v>
                </c:pt>
                <c:pt idx="6">
                  <c:v>3193000</c:v>
                </c:pt>
                <c:pt idx="7">
                  <c:v>3897000</c:v>
                </c:pt>
                <c:pt idx="8">
                  <c:v>5493000</c:v>
                </c:pt>
                <c:pt idx="9">
                  <c:v>6002000</c:v>
                </c:pt>
                <c:pt idx="10">
                  <c:v>9218000</c:v>
                </c:pt>
                <c:pt idx="11">
                  <c:v>13825000</c:v>
                </c:pt>
                <c:pt idx="12">
                  <c:v>12641000</c:v>
                </c:pt>
                <c:pt idx="13">
                  <c:v>13507000</c:v>
                </c:pt>
                <c:pt idx="14">
                  <c:v>14174000</c:v>
                </c:pt>
                <c:pt idx="15">
                  <c:v>21865000</c:v>
                </c:pt>
                <c:pt idx="16">
                  <c:v>4298000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59-4390-B297-13137AEE5801}"/>
            </c:ext>
          </c:extLst>
        </c:ser>
        <c:ser>
          <c:idx val="3"/>
          <c:order val="3"/>
          <c:tx>
            <c:strRef>
              <c:f>'TABLA COMPARATIVA'!$E$27</c:f>
              <c:strCache>
                <c:ptCount val="1"/>
                <c:pt idx="0">
                  <c:v>EUROPA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'TABLA COMPARATIVA'!$A$28:$A$44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'TABLA COMPARATIVA'!$E$28:$E$44</c:f>
              <c:numCache>
                <c:formatCode>#,##0</c:formatCode>
                <c:ptCount val="17"/>
                <c:pt idx="0">
                  <c:v>3426</c:v>
                </c:pt>
                <c:pt idx="1">
                  <c:v>13536</c:v>
                </c:pt>
                <c:pt idx="2">
                  <c:v>37987</c:v>
                </c:pt>
                <c:pt idx="3">
                  <c:v>48944</c:v>
                </c:pt>
                <c:pt idx="4">
                  <c:v>80056</c:v>
                </c:pt>
                <c:pt idx="5">
                  <c:v>112820</c:v>
                </c:pt>
                <c:pt idx="6">
                  <c:v>124632</c:v>
                </c:pt>
                <c:pt idx="7">
                  <c:v>186617</c:v>
                </c:pt>
                <c:pt idx="8">
                  <c:v>271190</c:v>
                </c:pt>
                <c:pt idx="9">
                  <c:v>465850</c:v>
                </c:pt>
                <c:pt idx="10">
                  <c:v>884500</c:v>
                </c:pt>
                <c:pt idx="11">
                  <c:v>1382700</c:v>
                </c:pt>
                <c:pt idx="12">
                  <c:v>1874500</c:v>
                </c:pt>
                <c:pt idx="13">
                  <c:v>2549300</c:v>
                </c:pt>
                <c:pt idx="14">
                  <c:v>2561600</c:v>
                </c:pt>
                <c:pt idx="15">
                  <c:v>3145500</c:v>
                </c:pt>
                <c:pt idx="16">
                  <c:v>604500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59-4390-B297-13137AEE5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7672703"/>
        <c:axId val="1597689503"/>
      </c:lineChart>
      <c:catAx>
        <c:axId val="159767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97689503"/>
        <c:crosses val="autoZero"/>
        <c:auto val="1"/>
        <c:lblAlgn val="ctr"/>
        <c:lblOffset val="100"/>
        <c:noMultiLvlLbl val="0"/>
      </c:catAx>
      <c:valAx>
        <c:axId val="159768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9767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DIFERENCIA</a:t>
            </a:r>
            <a:r>
              <a:rPr lang="es-ES" baseline="0"/>
              <a:t> VENTA POR VEHICULOS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'TABLA COMPARATIVA'!$A$51</c:f>
              <c:strCache>
                <c:ptCount val="1"/>
                <c:pt idx="0">
                  <c:v>ESPAÑA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'TABLA COMPARATIVA'!$B$50:$F$50</c:f>
              <c:strCache>
                <c:ptCount val="5"/>
                <c:pt idx="0">
                  <c:v>COCHES</c:v>
                </c:pt>
                <c:pt idx="1">
                  <c:v>FURGONETAS</c:v>
                </c:pt>
                <c:pt idx="2">
                  <c:v>BUSES</c:v>
                </c:pt>
                <c:pt idx="3">
                  <c:v>CAMIONES</c:v>
                </c:pt>
                <c:pt idx="4">
                  <c:v>2 Y 3 RUEDAS</c:v>
                </c:pt>
              </c:strCache>
            </c:strRef>
          </c:cat>
          <c:val>
            <c:numRef>
              <c:f>'TABLA COMPARATIVA'!$B$51:$F$51</c:f>
              <c:numCache>
                <c:formatCode>#,##0</c:formatCode>
                <c:ptCount val="5"/>
                <c:pt idx="0">
                  <c:v>359806</c:v>
                </c:pt>
                <c:pt idx="1">
                  <c:v>35056</c:v>
                </c:pt>
                <c:pt idx="2">
                  <c:v>2416</c:v>
                </c:pt>
                <c:pt idx="3">
                  <c:v>1433</c:v>
                </c:pt>
                <c:pt idx="4">
                  <c:v>115680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48-4391-9A5D-4E233B5930DE}"/>
            </c:ext>
          </c:extLst>
        </c:ser>
        <c:ser>
          <c:idx val="1"/>
          <c:order val="1"/>
          <c:tx>
            <c:strRef>
              <c:f>'TABLA COMPARATIVA'!$A$52</c:f>
              <c:strCache>
                <c:ptCount val="1"/>
                <c:pt idx="0">
                  <c:v>EEUU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'TABLA COMPARATIVA'!$B$50:$F$50</c:f>
              <c:strCache>
                <c:ptCount val="5"/>
                <c:pt idx="0">
                  <c:v>COCHES</c:v>
                </c:pt>
                <c:pt idx="1">
                  <c:v>FURGONETAS</c:v>
                </c:pt>
                <c:pt idx="2">
                  <c:v>BUSES</c:v>
                </c:pt>
                <c:pt idx="3">
                  <c:v>CAMIONES</c:v>
                </c:pt>
                <c:pt idx="4">
                  <c:v>2 Y 3 RUEDAS</c:v>
                </c:pt>
              </c:strCache>
            </c:strRef>
          </c:cat>
          <c:val>
            <c:numRef>
              <c:f>'TABLA COMPARATIVA'!$B$52:$F$52</c:f>
              <c:numCache>
                <c:formatCode>#,##0</c:formatCode>
                <c:ptCount val="5"/>
                <c:pt idx="0">
                  <c:v>6163314</c:v>
                </c:pt>
                <c:pt idx="1">
                  <c:v>80325</c:v>
                </c:pt>
                <c:pt idx="2">
                  <c:v>14485</c:v>
                </c:pt>
                <c:pt idx="3">
                  <c:v>96016</c:v>
                </c:pt>
                <c:pt idx="4">
                  <c:v>69340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48-4391-9A5D-4E233B5930DE}"/>
            </c:ext>
          </c:extLst>
        </c:ser>
        <c:ser>
          <c:idx val="2"/>
          <c:order val="2"/>
          <c:tx>
            <c:strRef>
              <c:f>'TABLA COMPARATIVA'!$A$53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'TABLA COMPARATIVA'!$B$50:$F$50</c:f>
              <c:strCache>
                <c:ptCount val="5"/>
                <c:pt idx="0">
                  <c:v>COCHES</c:v>
                </c:pt>
                <c:pt idx="1">
                  <c:v>FURGONETAS</c:v>
                </c:pt>
                <c:pt idx="2">
                  <c:v>BUSES</c:v>
                </c:pt>
                <c:pt idx="3">
                  <c:v>CAMIONES</c:v>
                </c:pt>
                <c:pt idx="4">
                  <c:v>2 Y 3 RUEDAS</c:v>
                </c:pt>
              </c:strCache>
            </c:strRef>
          </c:cat>
          <c:val>
            <c:numRef>
              <c:f>'TABLA COMPARATIVA'!$B$53:$F$53</c:f>
              <c:numCache>
                <c:formatCode>#,##0</c:formatCode>
                <c:ptCount val="5"/>
                <c:pt idx="0">
                  <c:v>31282500</c:v>
                </c:pt>
                <c:pt idx="1">
                  <c:v>1919170</c:v>
                </c:pt>
                <c:pt idx="2">
                  <c:v>689810</c:v>
                </c:pt>
                <c:pt idx="3">
                  <c:v>637000</c:v>
                </c:pt>
                <c:pt idx="4">
                  <c:v>82700000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48-4391-9A5D-4E233B5930DE}"/>
            </c:ext>
          </c:extLst>
        </c:ser>
        <c:ser>
          <c:idx val="3"/>
          <c:order val="3"/>
          <c:tx>
            <c:strRef>
              <c:f>'TABLA COMPARATIVA'!$A$54</c:f>
              <c:strCache>
                <c:ptCount val="1"/>
                <c:pt idx="0">
                  <c:v>EUROPA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'TABLA COMPARATIVA'!$B$50:$F$50</c:f>
              <c:strCache>
                <c:ptCount val="5"/>
                <c:pt idx="0">
                  <c:v>COCHES</c:v>
                </c:pt>
                <c:pt idx="1">
                  <c:v>FURGONETAS</c:v>
                </c:pt>
                <c:pt idx="2">
                  <c:v>BUSES</c:v>
                </c:pt>
                <c:pt idx="3">
                  <c:v>CAMIONES</c:v>
                </c:pt>
                <c:pt idx="4">
                  <c:v>2 Y 3 RUEDAS</c:v>
                </c:pt>
              </c:strCache>
            </c:strRef>
          </c:cat>
          <c:val>
            <c:numRef>
              <c:f>'TABLA COMPARATIVA'!$B$54:$F$54</c:f>
              <c:numCache>
                <c:formatCode>#,##0</c:formatCode>
                <c:ptCount val="5"/>
                <c:pt idx="0">
                  <c:v>12053700</c:v>
                </c:pt>
                <c:pt idx="1">
                  <c:v>707200</c:v>
                </c:pt>
                <c:pt idx="2">
                  <c:v>46496</c:v>
                </c:pt>
                <c:pt idx="3">
                  <c:v>189422</c:v>
                </c:pt>
                <c:pt idx="4">
                  <c:v>1350840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48-4391-9A5D-4E233B593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97650143"/>
        <c:axId val="1597650623"/>
        <c:axId val="0"/>
      </c:bar3DChart>
      <c:catAx>
        <c:axId val="1597650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97650623"/>
        <c:crosses val="autoZero"/>
        <c:auto val="1"/>
        <c:lblAlgn val="ctr"/>
        <c:lblOffset val="100"/>
        <c:noMultiLvlLbl val="0"/>
      </c:catAx>
      <c:valAx>
        <c:axId val="1597650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9765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'ESPAÑA VS EUROPA'!$B$1</c:f>
              <c:strCache>
                <c:ptCount val="1"/>
                <c:pt idx="0">
                  <c:v>PREVISIÓN DE VENTAS ESPAÑA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'ESPAÑA VS EUROPA'!$A$2:$A$17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'ESPAÑA VS EUROPA'!$B$2:$B$17</c:f>
              <c:numCache>
                <c:formatCode>_-* #,##0_-;\-* #,##0_-;_-* "-"??_-;_-@_-</c:formatCode>
                <c:ptCount val="16"/>
                <c:pt idx="0">
                  <c:v>2000</c:v>
                </c:pt>
                <c:pt idx="1">
                  <c:v>20000</c:v>
                </c:pt>
                <c:pt idx="2">
                  <c:v>50000</c:v>
                </c:pt>
                <c:pt idx="3">
                  <c:v>70000</c:v>
                </c:pt>
                <c:pt idx="4">
                  <c:v>110000</c:v>
                </c:pt>
                <c:pt idx="5">
                  <c:v>22000</c:v>
                </c:pt>
                <c:pt idx="6">
                  <c:v>12000</c:v>
                </c:pt>
                <c:pt idx="7">
                  <c:v>45000</c:v>
                </c:pt>
                <c:pt idx="8">
                  <c:v>20000</c:v>
                </c:pt>
                <c:pt idx="9">
                  <c:v>30000</c:v>
                </c:pt>
                <c:pt idx="10">
                  <c:v>65000</c:v>
                </c:pt>
                <c:pt idx="11">
                  <c:v>100000</c:v>
                </c:pt>
                <c:pt idx="12">
                  <c:v>120000</c:v>
                </c:pt>
                <c:pt idx="13">
                  <c:v>190000</c:v>
                </c:pt>
                <c:pt idx="14">
                  <c:v>250000</c:v>
                </c:pt>
                <c:pt idx="15">
                  <c:v>62435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DB-4EDE-B4FC-9BACF939AB91}"/>
            </c:ext>
          </c:extLst>
        </c:ser>
        <c:ser>
          <c:idx val="2"/>
          <c:order val="1"/>
          <c:tx>
            <c:strRef>
              <c:f>'ESPAÑA VS EUROPA'!$C$1</c:f>
              <c:strCache>
                <c:ptCount val="1"/>
                <c:pt idx="0">
                  <c:v>PREVISIÓN VENTAS EUROPA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'ESPAÑA VS EUROPA'!$A$2:$A$17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'ESPAÑA VS EUROPA'!$C$2:$C$17</c:f>
              <c:numCache>
                <c:formatCode>0</c:formatCode>
                <c:ptCount val="16"/>
                <c:pt idx="0">
                  <c:v>3000</c:v>
                </c:pt>
                <c:pt idx="1">
                  <c:v>25000</c:v>
                </c:pt>
                <c:pt idx="2">
                  <c:v>30000</c:v>
                </c:pt>
                <c:pt idx="3">
                  <c:v>60000</c:v>
                </c:pt>
                <c:pt idx="4">
                  <c:v>90000</c:v>
                </c:pt>
                <c:pt idx="5">
                  <c:v>150000</c:v>
                </c:pt>
                <c:pt idx="6">
                  <c:v>120000</c:v>
                </c:pt>
                <c:pt idx="7">
                  <c:v>280000</c:v>
                </c:pt>
                <c:pt idx="8">
                  <c:v>430000</c:v>
                </c:pt>
                <c:pt idx="9">
                  <c:v>550000</c:v>
                </c:pt>
                <c:pt idx="10">
                  <c:v>1000000</c:v>
                </c:pt>
                <c:pt idx="11">
                  <c:v>2000000</c:v>
                </c:pt>
                <c:pt idx="12">
                  <c:v>2500000</c:v>
                </c:pt>
                <c:pt idx="13">
                  <c:v>3100000</c:v>
                </c:pt>
                <c:pt idx="14">
                  <c:v>3400000</c:v>
                </c:pt>
                <c:pt idx="15">
                  <c:v>4200000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4DB-4EDE-B4FC-9BACF939AB91}"/>
            </c:ext>
          </c:extLst>
        </c:ser>
        <c:ser>
          <c:idx val="3"/>
          <c:order val="2"/>
          <c:tx>
            <c:strRef>
              <c:f>'ESPAÑA VS EUROPA'!$D$1</c:f>
              <c:strCache>
                <c:ptCount val="1"/>
                <c:pt idx="0">
                  <c:v>ESPAÑA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'ESPAÑA VS EUROPA'!$A$2:$A$17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'ESPAÑA VS EUROPA'!$D$2:$D$17</c:f>
              <c:numCache>
                <c:formatCode>General</c:formatCode>
                <c:ptCount val="16"/>
                <c:pt idx="0">
                  <c:v>76</c:v>
                </c:pt>
                <c:pt idx="1">
                  <c:v>414</c:v>
                </c:pt>
                <c:pt idx="2">
                  <c:v>3030</c:v>
                </c:pt>
                <c:pt idx="3">
                  <c:v>2582</c:v>
                </c:pt>
                <c:pt idx="4">
                  <c:v>2511</c:v>
                </c:pt>
                <c:pt idx="5">
                  <c:v>2482</c:v>
                </c:pt>
                <c:pt idx="6">
                  <c:v>3860</c:v>
                </c:pt>
                <c:pt idx="7">
                  <c:v>7150</c:v>
                </c:pt>
                <c:pt idx="8">
                  <c:v>15030</c:v>
                </c:pt>
                <c:pt idx="9">
                  <c:v>23007</c:v>
                </c:pt>
                <c:pt idx="10">
                  <c:v>34059</c:v>
                </c:pt>
                <c:pt idx="11">
                  <c:v>37473</c:v>
                </c:pt>
                <c:pt idx="12">
                  <c:v>52960</c:v>
                </c:pt>
                <c:pt idx="13">
                  <c:v>77260</c:v>
                </c:pt>
                <c:pt idx="14">
                  <c:v>78200</c:v>
                </c:pt>
                <c:pt idx="15">
                  <c:v>143607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4DB-4EDE-B4FC-9BACF939AB91}"/>
            </c:ext>
          </c:extLst>
        </c:ser>
        <c:ser>
          <c:idx val="4"/>
          <c:order val="3"/>
          <c:tx>
            <c:strRef>
              <c:f>'ESPAÑA VS EUROPA'!$E$1</c:f>
              <c:strCache>
                <c:ptCount val="1"/>
                <c:pt idx="0">
                  <c:v>EUROPA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'ESPAÑA VS EUROPA'!$A$2:$A$17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'ESPAÑA VS EUROPA'!$E$2:$E$17</c:f>
              <c:numCache>
                <c:formatCode>General</c:formatCode>
                <c:ptCount val="16"/>
                <c:pt idx="0">
                  <c:v>3426</c:v>
                </c:pt>
                <c:pt idx="1">
                  <c:v>13536</c:v>
                </c:pt>
                <c:pt idx="2">
                  <c:v>37987</c:v>
                </c:pt>
                <c:pt idx="3">
                  <c:v>48944</c:v>
                </c:pt>
                <c:pt idx="4">
                  <c:v>80056</c:v>
                </c:pt>
                <c:pt idx="5">
                  <c:v>112820</c:v>
                </c:pt>
                <c:pt idx="6">
                  <c:v>124632</c:v>
                </c:pt>
                <c:pt idx="7">
                  <c:v>186617</c:v>
                </c:pt>
                <c:pt idx="8">
                  <c:v>271190</c:v>
                </c:pt>
                <c:pt idx="9">
                  <c:v>465850</c:v>
                </c:pt>
                <c:pt idx="10">
                  <c:v>884500</c:v>
                </c:pt>
                <c:pt idx="11">
                  <c:v>1382700</c:v>
                </c:pt>
                <c:pt idx="12">
                  <c:v>1874500</c:v>
                </c:pt>
                <c:pt idx="13">
                  <c:v>2549300</c:v>
                </c:pt>
                <c:pt idx="14">
                  <c:v>2561600</c:v>
                </c:pt>
                <c:pt idx="15">
                  <c:v>3145500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4DB-4EDE-B4FC-9BACF939A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892936"/>
        <c:axId val="112914952"/>
      </c:lineChart>
      <c:catAx>
        <c:axId val="112892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14952"/>
        <c:crosses val="autoZero"/>
        <c:auto val="1"/>
        <c:lblAlgn val="ctr"/>
        <c:lblOffset val="100"/>
        <c:noMultiLvlLbl val="0"/>
      </c:catAx>
      <c:valAx>
        <c:axId val="112914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2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chart" Target="../charts/chart2.xml"/><Relationship Id="rId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chart" Target="../charts/chart3.xml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chart" Target="../charts/chart4.xml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25398</xdr:colOff>
      <xdr:row>45</xdr:row>
      <xdr:rowOff>108856</xdr:rowOff>
    </xdr:from>
    <xdr:to>
      <xdr:col>24</xdr:col>
      <xdr:colOff>633561</xdr:colOff>
      <xdr:row>60</xdr:row>
      <xdr:rowOff>43541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19684" y="8436427"/>
          <a:ext cx="7760077" cy="2710543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 editAs="oneCell">
    <xdr:from>
      <xdr:col>20</xdr:col>
      <xdr:colOff>71851</xdr:colOff>
      <xdr:row>25</xdr:row>
      <xdr:rowOff>108272</xdr:rowOff>
    </xdr:from>
    <xdr:to>
      <xdr:col>28</xdr:col>
      <xdr:colOff>391885</xdr:colOff>
      <xdr:row>38</xdr:row>
      <xdr:rowOff>87088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39422" y="4734701"/>
          <a:ext cx="6677292" cy="2384558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 editAs="oneCell">
    <xdr:from>
      <xdr:col>10</xdr:col>
      <xdr:colOff>584852</xdr:colOff>
      <xdr:row>25</xdr:row>
      <xdr:rowOff>60876</xdr:rowOff>
    </xdr:from>
    <xdr:to>
      <xdr:col>18</xdr:col>
      <xdr:colOff>674002</xdr:colOff>
      <xdr:row>38</xdr:row>
      <xdr:rowOff>78013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852" y="4687305"/>
          <a:ext cx="6446407" cy="2422879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oneCellAnchor>
    <xdr:from>
      <xdr:col>20</xdr:col>
      <xdr:colOff>96214</xdr:colOff>
      <xdr:row>4</xdr:row>
      <xdr:rowOff>98755</xdr:rowOff>
    </xdr:from>
    <xdr:ext cx="6368326" cy="2497488"/>
    <xdr:pic>
      <xdr:nvPicPr>
        <xdr:cNvPr id="8" name="Imagen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67243" y="838984"/>
          <a:ext cx="6629583" cy="2426730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oneCellAnchor>
  <xdr:oneCellAnchor>
    <xdr:from>
      <xdr:col>10</xdr:col>
      <xdr:colOff>642256</xdr:colOff>
      <xdr:row>4</xdr:row>
      <xdr:rowOff>99785</xdr:rowOff>
    </xdr:from>
    <xdr:ext cx="6193974" cy="2463356"/>
    <xdr:pic>
      <xdr:nvPicPr>
        <xdr:cNvPr id="15" name="Imagen 10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6713" y="840014"/>
          <a:ext cx="6455231" cy="2392598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oneCellAnchor>
  <xdr:twoCellAnchor>
    <xdr:from>
      <xdr:col>13</xdr:col>
      <xdr:colOff>468085</xdr:colOff>
      <xdr:row>0</xdr:row>
      <xdr:rowOff>76200</xdr:rowOff>
    </xdr:from>
    <xdr:to>
      <xdr:col>16</xdr:col>
      <xdr:colOff>435428</xdr:colOff>
      <xdr:row>3</xdr:row>
      <xdr:rowOff>130629</xdr:rowOff>
    </xdr:to>
    <xdr:sp macro="" textlink="">
      <xdr:nvSpPr>
        <xdr:cNvPr id="16" name="Rectángulo: esquinas redondeadas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3476514" y="76200"/>
          <a:ext cx="2351314" cy="6096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800" b="1">
              <a:solidFill>
                <a:sysClr val="windowText" lastClr="000000"/>
              </a:solidFill>
            </a:rPr>
            <a:t>FURGONETAS</a:t>
          </a:r>
        </a:p>
      </xdr:txBody>
    </xdr:sp>
    <xdr:clientData/>
  </xdr:twoCellAnchor>
  <xdr:twoCellAnchor>
    <xdr:from>
      <xdr:col>22</xdr:col>
      <xdr:colOff>696685</xdr:colOff>
      <xdr:row>0</xdr:row>
      <xdr:rowOff>54428</xdr:rowOff>
    </xdr:from>
    <xdr:to>
      <xdr:col>25</xdr:col>
      <xdr:colOff>664028</xdr:colOff>
      <xdr:row>3</xdr:row>
      <xdr:rowOff>108857</xdr:rowOff>
    </xdr:to>
    <xdr:sp macro="" textlink="">
      <xdr:nvSpPr>
        <xdr:cNvPr id="17" name="Rectángulo: esquinas redondeadas 9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20857028" y="54428"/>
          <a:ext cx="2351314" cy="6096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800" b="1">
              <a:solidFill>
                <a:sysClr val="windowText" lastClr="000000"/>
              </a:solidFill>
            </a:rPr>
            <a:t>COCHES</a:t>
          </a:r>
        </a:p>
      </xdr:txBody>
    </xdr:sp>
    <xdr:clientData/>
  </xdr:twoCellAnchor>
  <xdr:twoCellAnchor>
    <xdr:from>
      <xdr:col>13</xdr:col>
      <xdr:colOff>500744</xdr:colOff>
      <xdr:row>20</xdr:row>
      <xdr:rowOff>163284</xdr:rowOff>
    </xdr:from>
    <xdr:to>
      <xdr:col>16</xdr:col>
      <xdr:colOff>468087</xdr:colOff>
      <xdr:row>24</xdr:row>
      <xdr:rowOff>32656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8505715" y="3864427"/>
          <a:ext cx="2351315" cy="6096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800" b="1">
              <a:solidFill>
                <a:sysClr val="windowText" lastClr="000000"/>
              </a:solidFill>
            </a:rPr>
            <a:t>CAMIONES</a:t>
          </a:r>
        </a:p>
      </xdr:txBody>
    </xdr:sp>
    <xdr:clientData/>
  </xdr:twoCellAnchor>
  <xdr:twoCellAnchor>
    <xdr:from>
      <xdr:col>23</xdr:col>
      <xdr:colOff>87086</xdr:colOff>
      <xdr:row>20</xdr:row>
      <xdr:rowOff>152400</xdr:rowOff>
    </xdr:from>
    <xdr:to>
      <xdr:col>26</xdr:col>
      <xdr:colOff>54429</xdr:colOff>
      <xdr:row>24</xdr:row>
      <xdr:rowOff>21772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6038629" y="3853543"/>
          <a:ext cx="2351314" cy="6096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800" b="1">
              <a:solidFill>
                <a:sysClr val="windowText" lastClr="000000"/>
              </a:solidFill>
            </a:rPr>
            <a:t>BUSES</a:t>
          </a:r>
        </a:p>
      </xdr:txBody>
    </xdr:sp>
    <xdr:clientData/>
  </xdr:twoCellAnchor>
  <xdr:twoCellAnchor>
    <xdr:from>
      <xdr:col>18</xdr:col>
      <xdr:colOff>76200</xdr:colOff>
      <xdr:row>41</xdr:row>
      <xdr:rowOff>54428</xdr:rowOff>
    </xdr:from>
    <xdr:to>
      <xdr:col>21</xdr:col>
      <xdr:colOff>43541</xdr:colOff>
      <xdr:row>44</xdr:row>
      <xdr:rowOff>108857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2054457" y="7641771"/>
          <a:ext cx="2351313" cy="6096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800" b="1">
              <a:solidFill>
                <a:sysClr val="windowText" lastClr="000000"/>
              </a:solidFill>
            </a:rPr>
            <a:t>2 Y 3 RUEDAS</a:t>
          </a:r>
        </a:p>
      </xdr:txBody>
    </xdr:sp>
    <xdr:clientData/>
  </xdr:twoCellAnchor>
  <xdr:twoCellAnchor editAs="oneCell">
    <xdr:from>
      <xdr:col>0</xdr:col>
      <xdr:colOff>1381125</xdr:colOff>
      <xdr:row>23</xdr:row>
      <xdr:rowOff>47625</xdr:rowOff>
    </xdr:from>
    <xdr:to>
      <xdr:col>4</xdr:col>
      <xdr:colOff>31055</xdr:colOff>
      <xdr:row>50</xdr:row>
      <xdr:rowOff>95250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1125" y="4210050"/>
          <a:ext cx="7936805" cy="4933950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5</xdr:col>
      <xdr:colOff>314325</xdr:colOff>
      <xdr:row>45</xdr:row>
      <xdr:rowOff>127908</xdr:rowOff>
    </xdr:from>
    <xdr:to>
      <xdr:col>14</xdr:col>
      <xdr:colOff>97971</xdr:colOff>
      <xdr:row>73</xdr:row>
      <xdr:rowOff>141515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63500</xdr:colOff>
      <xdr:row>22</xdr:row>
      <xdr:rowOff>38100</xdr:rowOff>
    </xdr:from>
    <xdr:to>
      <xdr:col>25</xdr:col>
      <xdr:colOff>746597</xdr:colOff>
      <xdr:row>34</xdr:row>
      <xdr:rowOff>126999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8500" y="3949700"/>
          <a:ext cx="6194897" cy="2222499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 editAs="oneCell">
    <xdr:from>
      <xdr:col>9</xdr:col>
      <xdr:colOff>22999</xdr:colOff>
      <xdr:row>22</xdr:row>
      <xdr:rowOff>39329</xdr:rowOff>
    </xdr:from>
    <xdr:to>
      <xdr:col>16</xdr:col>
      <xdr:colOff>761093</xdr:colOff>
      <xdr:row>34</xdr:row>
      <xdr:rowOff>94843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1399" y="3950929"/>
          <a:ext cx="6268944" cy="2189114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 editAs="oneCell">
    <xdr:from>
      <xdr:col>9</xdr:col>
      <xdr:colOff>784413</xdr:colOff>
      <xdr:row>4</xdr:row>
      <xdr:rowOff>127646</xdr:rowOff>
    </xdr:from>
    <xdr:to>
      <xdr:col>18</xdr:col>
      <xdr:colOff>25400</xdr:colOff>
      <xdr:row>16</xdr:row>
      <xdr:rowOff>79592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5413" y="838846"/>
          <a:ext cx="6327587" cy="2196671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 editAs="oneCell">
    <xdr:from>
      <xdr:col>19</xdr:col>
      <xdr:colOff>65373</xdr:colOff>
      <xdr:row>4</xdr:row>
      <xdr:rowOff>106928</xdr:rowOff>
    </xdr:from>
    <xdr:to>
      <xdr:col>27</xdr:col>
      <xdr:colOff>3175</xdr:colOff>
      <xdr:row>16</xdr:row>
      <xdr:rowOff>70588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70373" y="818128"/>
          <a:ext cx="6221127" cy="2208385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11</xdr:col>
      <xdr:colOff>546100</xdr:colOff>
      <xdr:row>0</xdr:row>
      <xdr:rowOff>114300</xdr:rowOff>
    </xdr:from>
    <xdr:to>
      <xdr:col>14</xdr:col>
      <xdr:colOff>482600</xdr:colOff>
      <xdr:row>3</xdr:row>
      <xdr:rowOff>114300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9639300" y="114300"/>
          <a:ext cx="2298700" cy="5334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800" b="1">
              <a:solidFill>
                <a:sysClr val="windowText" lastClr="000000"/>
              </a:solidFill>
            </a:rPr>
            <a:t>COCHES</a:t>
          </a:r>
        </a:p>
        <a:p>
          <a:pPr algn="l"/>
          <a:endParaRPr lang="es-ES" sz="1100"/>
        </a:p>
      </xdr:txBody>
    </xdr:sp>
    <xdr:clientData/>
  </xdr:twoCellAnchor>
  <xdr:twoCellAnchor>
    <xdr:from>
      <xdr:col>11</xdr:col>
      <xdr:colOff>558800</xdr:colOff>
      <xdr:row>18</xdr:row>
      <xdr:rowOff>38100</xdr:rowOff>
    </xdr:from>
    <xdr:to>
      <xdr:col>14</xdr:col>
      <xdr:colOff>495300</xdr:colOff>
      <xdr:row>21</xdr:row>
      <xdr:rowOff>38100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9652000" y="3238500"/>
          <a:ext cx="2298700" cy="5334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800" b="1">
              <a:solidFill>
                <a:sysClr val="windowText" lastClr="000000"/>
              </a:solidFill>
            </a:rPr>
            <a:t>BUSES</a:t>
          </a:r>
        </a:p>
      </xdr:txBody>
    </xdr:sp>
    <xdr:clientData/>
  </xdr:twoCellAnchor>
  <xdr:twoCellAnchor>
    <xdr:from>
      <xdr:col>20</xdr:col>
      <xdr:colOff>419100</xdr:colOff>
      <xdr:row>0</xdr:row>
      <xdr:rowOff>101600</xdr:rowOff>
    </xdr:from>
    <xdr:to>
      <xdr:col>23</xdr:col>
      <xdr:colOff>355600</xdr:colOff>
      <xdr:row>3</xdr:row>
      <xdr:rowOff>101600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16598900" y="101600"/>
          <a:ext cx="2298700" cy="5334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800" b="1">
              <a:solidFill>
                <a:sysClr val="windowText" lastClr="000000"/>
              </a:solidFill>
            </a:rPr>
            <a:t>FURGONETAS</a:t>
          </a:r>
        </a:p>
      </xdr:txBody>
    </xdr:sp>
    <xdr:clientData/>
  </xdr:twoCellAnchor>
  <xdr:twoCellAnchor>
    <xdr:from>
      <xdr:col>20</xdr:col>
      <xdr:colOff>622300</xdr:colOff>
      <xdr:row>18</xdr:row>
      <xdr:rowOff>12700</xdr:rowOff>
    </xdr:from>
    <xdr:to>
      <xdr:col>23</xdr:col>
      <xdr:colOff>558800</xdr:colOff>
      <xdr:row>21</xdr:row>
      <xdr:rowOff>12700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16802100" y="3213100"/>
          <a:ext cx="2298700" cy="5334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800" b="1">
              <a:solidFill>
                <a:sysClr val="windowText" lastClr="000000"/>
              </a:solidFill>
            </a:rPr>
            <a:t>2 Y 3 RUEDAS</a:t>
          </a:r>
        </a:p>
      </xdr:txBody>
    </xdr:sp>
    <xdr:clientData/>
  </xdr:twoCellAnchor>
  <xdr:twoCellAnchor>
    <xdr:from>
      <xdr:col>1</xdr:col>
      <xdr:colOff>238124</xdr:colOff>
      <xdr:row>22</xdr:row>
      <xdr:rowOff>0</xdr:rowOff>
    </xdr:from>
    <xdr:to>
      <xdr:col>4</xdr:col>
      <xdr:colOff>761999</xdr:colOff>
      <xdr:row>49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746760</xdr:colOff>
      <xdr:row>48</xdr:row>
      <xdr:rowOff>43180</xdr:rowOff>
    </xdr:from>
    <xdr:to>
      <xdr:col>23</xdr:col>
      <xdr:colOff>91440</xdr:colOff>
      <xdr:row>63</xdr:row>
      <xdr:rowOff>8725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9080" y="8821420"/>
          <a:ext cx="7269480" cy="2708745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 editAs="oneCell">
    <xdr:from>
      <xdr:col>9</xdr:col>
      <xdr:colOff>11208</xdr:colOff>
      <xdr:row>24</xdr:row>
      <xdr:rowOff>109362</xdr:rowOff>
    </xdr:from>
    <xdr:to>
      <xdr:col>17</xdr:col>
      <xdr:colOff>758191</xdr:colOff>
      <xdr:row>39</xdr:row>
      <xdr:rowOff>35151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83608" y="4498482"/>
          <a:ext cx="7105872" cy="2668989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 editAs="oneCell">
    <xdr:from>
      <xdr:col>19</xdr:col>
      <xdr:colOff>94260</xdr:colOff>
      <xdr:row>24</xdr:row>
      <xdr:rowOff>112041</xdr:rowOff>
    </xdr:from>
    <xdr:to>
      <xdr:col>28</xdr:col>
      <xdr:colOff>30480</xdr:colOff>
      <xdr:row>39</xdr:row>
      <xdr:rowOff>33099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91460" y="4501161"/>
          <a:ext cx="7068540" cy="2664258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 editAs="oneCell">
    <xdr:from>
      <xdr:col>10</xdr:col>
      <xdr:colOff>88049</xdr:colOff>
      <xdr:row>3</xdr:row>
      <xdr:rowOff>151551</xdr:rowOff>
    </xdr:from>
    <xdr:to>
      <xdr:col>18</xdr:col>
      <xdr:colOff>750975</xdr:colOff>
      <xdr:row>17</xdr:row>
      <xdr:rowOff>85724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1399" y="694476"/>
          <a:ext cx="6987525" cy="2467823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 editAs="oneCell">
    <xdr:from>
      <xdr:col>20</xdr:col>
      <xdr:colOff>109235</xdr:colOff>
      <xdr:row>3</xdr:row>
      <xdr:rowOff>138794</xdr:rowOff>
    </xdr:from>
    <xdr:to>
      <xdr:col>28</xdr:col>
      <xdr:colOff>685799</xdr:colOff>
      <xdr:row>17</xdr:row>
      <xdr:rowOff>137827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9092" y="693965"/>
          <a:ext cx="6933822" cy="2589833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12</xdr:col>
      <xdr:colOff>28575</xdr:colOff>
      <xdr:row>0</xdr:row>
      <xdr:rowOff>66675</xdr:rowOff>
    </xdr:from>
    <xdr:to>
      <xdr:col>14</xdr:col>
      <xdr:colOff>771525</xdr:colOff>
      <xdr:row>3</xdr:row>
      <xdr:rowOff>28575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0153650" y="66675"/>
          <a:ext cx="2324100" cy="5048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800" b="1">
              <a:solidFill>
                <a:sysClr val="windowText" lastClr="000000"/>
              </a:solidFill>
            </a:rPr>
            <a:t>COCHES</a:t>
          </a:r>
        </a:p>
      </xdr:txBody>
    </xdr:sp>
    <xdr:clientData/>
  </xdr:twoCellAnchor>
  <xdr:twoCellAnchor>
    <xdr:from>
      <xdr:col>22</xdr:col>
      <xdr:colOff>10886</xdr:colOff>
      <xdr:row>0</xdr:row>
      <xdr:rowOff>43543</xdr:rowOff>
    </xdr:from>
    <xdr:to>
      <xdr:col>24</xdr:col>
      <xdr:colOff>751659</xdr:colOff>
      <xdr:row>3</xdr:row>
      <xdr:rowOff>5443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8085526" y="43543"/>
          <a:ext cx="2325733" cy="51054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400" b="1">
              <a:solidFill>
                <a:sysClr val="windowText" lastClr="000000"/>
              </a:solidFill>
            </a:rPr>
            <a:t>FURGONETAS</a:t>
          </a:r>
        </a:p>
      </xdr:txBody>
    </xdr:sp>
    <xdr:clientData/>
  </xdr:twoCellAnchor>
  <xdr:twoCellAnchor>
    <xdr:from>
      <xdr:col>12</xdr:col>
      <xdr:colOff>30480</xdr:colOff>
      <xdr:row>20</xdr:row>
      <xdr:rowOff>152400</xdr:rowOff>
    </xdr:from>
    <xdr:to>
      <xdr:col>14</xdr:col>
      <xdr:colOff>773430</xdr:colOff>
      <xdr:row>23</xdr:row>
      <xdr:rowOff>114300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0180320" y="3810000"/>
          <a:ext cx="2327910" cy="51054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800" b="1">
              <a:solidFill>
                <a:sysClr val="windowText" lastClr="000000"/>
              </a:solidFill>
            </a:rPr>
            <a:t>BUSES</a:t>
          </a:r>
        </a:p>
      </xdr:txBody>
    </xdr:sp>
    <xdr:clientData/>
  </xdr:twoCellAnchor>
  <xdr:twoCellAnchor>
    <xdr:from>
      <xdr:col>22</xdr:col>
      <xdr:colOff>15240</xdr:colOff>
      <xdr:row>20</xdr:row>
      <xdr:rowOff>121920</xdr:rowOff>
    </xdr:from>
    <xdr:to>
      <xdr:col>24</xdr:col>
      <xdr:colOff>758190</xdr:colOff>
      <xdr:row>23</xdr:row>
      <xdr:rowOff>83820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8089880" y="3779520"/>
          <a:ext cx="2327910" cy="51054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800" b="1">
              <a:solidFill>
                <a:sysClr val="windowText" lastClr="000000"/>
              </a:solidFill>
            </a:rPr>
            <a:t>CAMIONES</a:t>
          </a:r>
        </a:p>
      </xdr:txBody>
    </xdr:sp>
    <xdr:clientData/>
  </xdr:twoCellAnchor>
  <xdr:twoCellAnchor>
    <xdr:from>
      <xdr:col>17</xdr:col>
      <xdr:colOff>121920</xdr:colOff>
      <xdr:row>44</xdr:row>
      <xdr:rowOff>15240</xdr:rowOff>
    </xdr:from>
    <xdr:to>
      <xdr:col>20</xdr:col>
      <xdr:colOff>72390</xdr:colOff>
      <xdr:row>46</xdr:row>
      <xdr:rowOff>160020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4234160" y="8061960"/>
          <a:ext cx="2327910" cy="51054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800" b="1">
              <a:solidFill>
                <a:sysClr val="windowText" lastClr="000000"/>
              </a:solidFill>
            </a:rPr>
            <a:t>2 Y 3 RUEDAS</a:t>
          </a:r>
        </a:p>
      </xdr:txBody>
    </xdr:sp>
    <xdr:clientData/>
  </xdr:twoCellAnchor>
  <xdr:twoCellAnchor>
    <xdr:from>
      <xdr:col>0</xdr:col>
      <xdr:colOff>348342</xdr:colOff>
      <xdr:row>21</xdr:row>
      <xdr:rowOff>10886</xdr:rowOff>
    </xdr:from>
    <xdr:to>
      <xdr:col>8</xdr:col>
      <xdr:colOff>12700</xdr:colOff>
      <xdr:row>44</xdr:row>
      <xdr:rowOff>101600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  <a:ext uri="{147F2762-F138-4A5C-976F-8EAC2B608ADB}">
              <a16:predDERef xmlns:a16="http://schemas.microsoft.com/office/drawing/2014/main" pred="{00000000-0008-0000-02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76200</xdr:colOff>
      <xdr:row>28</xdr:row>
      <xdr:rowOff>29168</xdr:rowOff>
    </xdr:from>
    <xdr:to>
      <xdr:col>18</xdr:col>
      <xdr:colOff>60246</xdr:colOff>
      <xdr:row>42</xdr:row>
      <xdr:rowOff>60959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5149808"/>
          <a:ext cx="7116366" cy="2592111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 editAs="oneCell">
    <xdr:from>
      <xdr:col>13</xdr:col>
      <xdr:colOff>421780</xdr:colOff>
      <xdr:row>49</xdr:row>
      <xdr:rowOff>58560</xdr:rowOff>
    </xdr:from>
    <xdr:to>
      <xdr:col>23</xdr:col>
      <xdr:colOff>673099</xdr:colOff>
      <xdr:row>65</xdr:row>
      <xdr:rowOff>60960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0300" y="9019680"/>
          <a:ext cx="8176120" cy="2928480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 editAs="oneCell">
    <xdr:from>
      <xdr:col>19</xdr:col>
      <xdr:colOff>157759</xdr:colOff>
      <xdr:row>28</xdr:row>
      <xdr:rowOff>33300</xdr:rowOff>
    </xdr:from>
    <xdr:to>
      <xdr:col>28</xdr:col>
      <xdr:colOff>317578</xdr:colOff>
      <xdr:row>42</xdr:row>
      <xdr:rowOff>91440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31159" y="5153940"/>
          <a:ext cx="7292139" cy="2618460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 editAs="oneCell">
    <xdr:from>
      <xdr:col>20</xdr:col>
      <xdr:colOff>102021</xdr:colOff>
      <xdr:row>5</xdr:row>
      <xdr:rowOff>145201</xdr:rowOff>
    </xdr:from>
    <xdr:to>
      <xdr:col>29</xdr:col>
      <xdr:colOff>243841</xdr:colOff>
      <xdr:row>20</xdr:row>
      <xdr:rowOff>31369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421" y="1059601"/>
          <a:ext cx="7274140" cy="2657943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 editAs="oneCell">
    <xdr:from>
      <xdr:col>10</xdr:col>
      <xdr:colOff>137721</xdr:colOff>
      <xdr:row>5</xdr:row>
      <xdr:rowOff>144145</xdr:rowOff>
    </xdr:from>
    <xdr:to>
      <xdr:col>18</xdr:col>
      <xdr:colOff>741045</xdr:colOff>
      <xdr:row>20</xdr:row>
      <xdr:rowOff>28324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6321" y="1058545"/>
          <a:ext cx="6943164" cy="2655954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13</xdr:col>
      <xdr:colOff>45720</xdr:colOff>
      <xdr:row>1</xdr:row>
      <xdr:rowOff>15240</xdr:rowOff>
    </xdr:from>
    <xdr:to>
      <xdr:col>16</xdr:col>
      <xdr:colOff>563880</xdr:colOff>
      <xdr:row>4</xdr:row>
      <xdr:rowOff>106680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10271760" y="198120"/>
          <a:ext cx="2895600" cy="6400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800" b="1">
              <a:solidFill>
                <a:sysClr val="windowText" lastClr="000000"/>
              </a:solidFill>
            </a:rPr>
            <a:t>FURGONETAS</a:t>
          </a:r>
        </a:p>
      </xdr:txBody>
    </xdr:sp>
    <xdr:clientData/>
  </xdr:twoCellAnchor>
  <xdr:twoCellAnchor>
    <xdr:from>
      <xdr:col>22</xdr:col>
      <xdr:colOff>701040</xdr:colOff>
      <xdr:row>1</xdr:row>
      <xdr:rowOff>15240</xdr:rowOff>
    </xdr:from>
    <xdr:to>
      <xdr:col>26</xdr:col>
      <xdr:colOff>426720</xdr:colOff>
      <xdr:row>4</xdr:row>
      <xdr:rowOff>106680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18059400" y="198120"/>
          <a:ext cx="2895600" cy="6400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800" b="1">
              <a:solidFill>
                <a:sysClr val="windowText" lastClr="000000"/>
              </a:solidFill>
            </a:rPr>
            <a:t>COCHES</a:t>
          </a:r>
        </a:p>
      </xdr:txBody>
    </xdr:sp>
    <xdr:clientData/>
  </xdr:twoCellAnchor>
  <xdr:twoCellAnchor>
    <xdr:from>
      <xdr:col>12</xdr:col>
      <xdr:colOff>76200</xdr:colOff>
      <xdr:row>23</xdr:row>
      <xdr:rowOff>30480</xdr:rowOff>
    </xdr:from>
    <xdr:to>
      <xdr:col>15</xdr:col>
      <xdr:colOff>594360</xdr:colOff>
      <xdr:row>26</xdr:row>
      <xdr:rowOff>121920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10302240" y="4236720"/>
          <a:ext cx="2895600" cy="6400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800" b="1">
              <a:solidFill>
                <a:sysClr val="windowText" lastClr="000000"/>
              </a:solidFill>
            </a:rPr>
            <a:t>2 Y 3 RUEDAS</a:t>
          </a:r>
        </a:p>
      </xdr:txBody>
    </xdr:sp>
    <xdr:clientData/>
  </xdr:twoCellAnchor>
  <xdr:twoCellAnchor>
    <xdr:from>
      <xdr:col>21</xdr:col>
      <xdr:colOff>762000</xdr:colOff>
      <xdr:row>23</xdr:row>
      <xdr:rowOff>0</xdr:rowOff>
    </xdr:from>
    <xdr:to>
      <xdr:col>25</xdr:col>
      <xdr:colOff>487680</xdr:colOff>
      <xdr:row>26</xdr:row>
      <xdr:rowOff>91440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18120360" y="4206240"/>
          <a:ext cx="2895600" cy="6400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800" b="1">
              <a:solidFill>
                <a:sysClr val="windowText" lastClr="000000"/>
              </a:solidFill>
            </a:rPr>
            <a:t>CAMIONES</a:t>
          </a:r>
        </a:p>
      </xdr:txBody>
    </xdr:sp>
    <xdr:clientData/>
  </xdr:twoCellAnchor>
  <xdr:twoCellAnchor>
    <xdr:from>
      <xdr:col>16</xdr:col>
      <xdr:colOff>670560</xdr:colOff>
      <xdr:row>44</xdr:row>
      <xdr:rowOff>76200</xdr:rowOff>
    </xdr:from>
    <xdr:to>
      <xdr:col>20</xdr:col>
      <xdr:colOff>396240</xdr:colOff>
      <xdr:row>47</xdr:row>
      <xdr:rowOff>167640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14066520" y="8122920"/>
          <a:ext cx="2895600" cy="6400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800" b="1">
              <a:solidFill>
                <a:sysClr val="windowText" lastClr="000000"/>
              </a:solidFill>
            </a:rPr>
            <a:t>BUSES</a:t>
          </a:r>
        </a:p>
      </xdr:txBody>
    </xdr:sp>
    <xdr:clientData/>
  </xdr:twoCellAnchor>
  <xdr:twoCellAnchor>
    <xdr:from>
      <xdr:col>0</xdr:col>
      <xdr:colOff>327660</xdr:colOff>
      <xdr:row>20</xdr:row>
      <xdr:rowOff>163830</xdr:rowOff>
    </xdr:from>
    <xdr:to>
      <xdr:col>7</xdr:col>
      <xdr:colOff>777240</xdr:colOff>
      <xdr:row>45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  <a:ext uri="{147F2762-F138-4A5C-976F-8EAC2B608ADB}">
              <a16:predDERef xmlns:a16="http://schemas.microsoft.com/office/drawing/2014/main" pred="{00000000-0008-0000-0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25</xdr:row>
      <xdr:rowOff>158750</xdr:rowOff>
    </xdr:from>
    <xdr:to>
      <xdr:col>11</xdr:col>
      <xdr:colOff>762000</xdr:colOff>
      <xdr:row>44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6350</xdr:colOff>
      <xdr:row>46</xdr:row>
      <xdr:rowOff>6350</xdr:rowOff>
    </xdr:from>
    <xdr:to>
      <xdr:col>13</xdr:col>
      <xdr:colOff>12700</xdr:colOff>
      <xdr:row>62</xdr:row>
      <xdr:rowOff>88900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  <a:ext uri="{147F2762-F138-4A5C-976F-8EAC2B608ADB}">
              <a16:predDERef xmlns:a16="http://schemas.microsoft.com/office/drawing/2014/main" pre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1</xdr:row>
      <xdr:rowOff>19050</xdr:rowOff>
    </xdr:from>
    <xdr:to>
      <xdr:col>16</xdr:col>
      <xdr:colOff>600075</xdr:colOff>
      <xdr:row>21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0D54524-742F-1CFD-EAE7-3D1870FE6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anfac.com/wp-content/uploads/2019/07/Informe-Anual-ANFAC-2018-ESP.pdf" TargetMode="External"/><Relationship Id="rId7" Type="http://schemas.openxmlformats.org/officeDocument/2006/relationships/hyperlink" Target="https://www.iea.org/data-and-statistics/data-tools/global-ev-data-explorer" TargetMode="External"/><Relationship Id="rId2" Type="http://schemas.openxmlformats.org/officeDocument/2006/relationships/hyperlink" Target="https://www.miteco.gob.es/content/dam/miteco/es/ministerio/planes-estrategias/plan-nacional-integrado-energia-clima/plannacionalintegradodeenergiayclima2021-2030_tcm30-546623.pdf" TargetMode="External"/><Relationship Id="rId1" Type="http://schemas.openxmlformats.org/officeDocument/2006/relationships/hyperlink" Target="https://www.miteco.gob.es/content/dam/miteco/es/ministerio/planes-estrategias/plan-nacional-integrado-energia-clima/plannacionalintegradodeenergiayclima2021-2030_tcm30-546623.pdf" TargetMode="External"/><Relationship Id="rId6" Type="http://schemas.openxmlformats.org/officeDocument/2006/relationships/hyperlink" Target="https://www.elespanol.com/motor/20241120/ventas-coches-electricos-subiran-dispararan/902410241_0.html" TargetMode="External"/><Relationship Id="rId5" Type="http://schemas.openxmlformats.org/officeDocument/2006/relationships/hyperlink" Target="https://anfac.com/" TargetMode="External"/><Relationship Id="rId4" Type="http://schemas.openxmlformats.org/officeDocument/2006/relationships/hyperlink" Target="https://anfac.com/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data" TargetMode="External"/><Relationship Id="rId2" Type="http://schemas.openxmlformats.org/officeDocument/2006/relationships/hyperlink" Target="https://www.google.com/search?q=https://www.coxautoinc.com/news/cox-automotive-forecast-2021-u-s-auto-sales/&amp;authuser=1" TargetMode="External"/><Relationship Id="rId1" Type="http://schemas.openxmlformats.org/officeDocument/2006/relationships/hyperlink" Target="https://www.google.com/search?q=https://www.eia.gov/outlooks/aeo/pdf/0383(2016).pdf&amp;authuser=1%20%20%20%20(mirar%20a%20la%20secci&#243;%20de%20transport)" TargetMode="Externa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afdc.energy.gov/data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www.caam.org.cn/" TargetMode="External"/><Relationship Id="rId1" Type="http://schemas.openxmlformats.org/officeDocument/2006/relationships/hyperlink" Target="http://www.caam.org.cn/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s://www.acea.auto/" TargetMode="External"/><Relationship Id="rId1" Type="http://schemas.openxmlformats.org/officeDocument/2006/relationships/hyperlink" Target="https://www.acea.auto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42F7-85D7-4111-9445-25088C6A4107}">
  <dimension ref="A1:I20"/>
  <sheetViews>
    <sheetView zoomScale="70" zoomScaleNormal="70" workbookViewId="0">
      <selection activeCell="D19" sqref="D19"/>
    </sheetView>
  </sheetViews>
  <sheetFormatPr defaultColWidth="11.42578125" defaultRowHeight="14.45"/>
  <cols>
    <col min="1" max="1" width="21.7109375" customWidth="1"/>
    <col min="2" max="2" width="32.42578125" customWidth="1"/>
    <col min="3" max="3" width="59.85546875" customWidth="1"/>
    <col min="4" max="4" width="21.28515625" customWidth="1"/>
    <col min="5" max="5" width="20.140625" customWidth="1"/>
    <col min="6" max="6" width="17" customWidth="1"/>
    <col min="7" max="7" width="17.140625" customWidth="1"/>
    <col min="8" max="8" width="15" customWidth="1"/>
  </cols>
  <sheetData>
    <row r="1" spans="1:9">
      <c r="A1" s="1"/>
      <c r="B1" s="1"/>
      <c r="C1" s="1"/>
      <c r="D1" s="40" t="s">
        <v>0</v>
      </c>
      <c r="E1" s="40"/>
      <c r="F1" s="40"/>
      <c r="G1" s="40"/>
      <c r="H1" s="40"/>
      <c r="I1" s="40"/>
    </row>
    <row r="2" spans="1:9" ht="15">
      <c r="A2" s="5" t="s">
        <v>1</v>
      </c>
      <c r="B2" s="5" t="s">
        <v>2</v>
      </c>
      <c r="C2" s="31" t="s">
        <v>3</v>
      </c>
      <c r="D2" s="31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spans="1:9" ht="15">
      <c r="A3" s="5">
        <v>2010</v>
      </c>
      <c r="B3" s="17">
        <v>2000</v>
      </c>
      <c r="C3" s="32" t="s">
        <v>10</v>
      </c>
      <c r="D3" s="19" t="s">
        <v>11</v>
      </c>
      <c r="E3" s="17">
        <v>76</v>
      </c>
      <c r="F3" s="17">
        <v>0</v>
      </c>
      <c r="G3" s="17">
        <v>0</v>
      </c>
      <c r="H3" s="17">
        <v>0</v>
      </c>
      <c r="I3" s="17">
        <v>0</v>
      </c>
    </row>
    <row r="4" spans="1:9" ht="15">
      <c r="A4" s="5">
        <v>2011</v>
      </c>
      <c r="B4" s="17">
        <v>20000</v>
      </c>
      <c r="C4" s="32" t="s">
        <v>12</v>
      </c>
      <c r="D4" s="33" t="s">
        <v>11</v>
      </c>
      <c r="E4" s="17">
        <v>390</v>
      </c>
      <c r="F4" s="17">
        <v>24</v>
      </c>
      <c r="G4" s="17">
        <v>0</v>
      </c>
      <c r="H4" s="17">
        <v>0</v>
      </c>
      <c r="I4" s="17">
        <v>0</v>
      </c>
    </row>
    <row r="5" spans="1:9" ht="15">
      <c r="A5" s="5">
        <v>2012</v>
      </c>
      <c r="B5" s="17">
        <v>50000</v>
      </c>
      <c r="C5" s="32" t="s">
        <v>12</v>
      </c>
      <c r="D5" s="33" t="s">
        <v>11</v>
      </c>
      <c r="E5" s="17">
        <v>430</v>
      </c>
      <c r="F5" s="17">
        <v>200</v>
      </c>
      <c r="G5" s="17">
        <v>0</v>
      </c>
      <c r="H5" s="17">
        <v>0</v>
      </c>
      <c r="I5" s="17">
        <v>2400</v>
      </c>
    </row>
    <row r="6" spans="1:9" ht="15">
      <c r="A6" s="5">
        <v>2013</v>
      </c>
      <c r="B6" s="17">
        <v>70000</v>
      </c>
      <c r="C6" s="32" t="s">
        <v>12</v>
      </c>
      <c r="D6" s="33" t="s">
        <v>11</v>
      </c>
      <c r="E6" s="17">
        <v>810</v>
      </c>
      <c r="F6" s="17">
        <v>72</v>
      </c>
      <c r="G6" s="17">
        <v>0</v>
      </c>
      <c r="H6" s="17">
        <v>0</v>
      </c>
      <c r="I6" s="17">
        <v>1700</v>
      </c>
    </row>
    <row r="7" spans="1:9" ht="15">
      <c r="A7" s="5">
        <v>2014</v>
      </c>
      <c r="B7" s="17">
        <v>110000</v>
      </c>
      <c r="C7" s="32" t="s">
        <v>12</v>
      </c>
      <c r="D7" s="33" t="s">
        <v>11</v>
      </c>
      <c r="E7" s="17">
        <v>1400</v>
      </c>
      <c r="F7" s="17">
        <v>360</v>
      </c>
      <c r="G7" s="17">
        <v>11</v>
      </c>
      <c r="H7" s="17">
        <v>0</v>
      </c>
      <c r="I7" s="17">
        <v>740</v>
      </c>
    </row>
    <row r="8" spans="1:9" ht="15">
      <c r="A8" s="5">
        <v>2015</v>
      </c>
      <c r="B8" s="18">
        <v>22000</v>
      </c>
      <c r="C8" s="34" t="s">
        <v>13</v>
      </c>
      <c r="D8" s="33" t="s">
        <v>11</v>
      </c>
      <c r="E8" s="17">
        <v>1300</v>
      </c>
      <c r="F8" s="17">
        <v>540</v>
      </c>
      <c r="G8" s="17">
        <v>2</v>
      </c>
      <c r="H8" s="17">
        <v>0</v>
      </c>
      <c r="I8" s="17">
        <v>640</v>
      </c>
    </row>
    <row r="9" spans="1:9" ht="15">
      <c r="A9" s="5">
        <v>2016</v>
      </c>
      <c r="B9" s="18">
        <v>12000</v>
      </c>
      <c r="C9" t="s">
        <v>14</v>
      </c>
      <c r="D9" s="33" t="s">
        <v>11</v>
      </c>
      <c r="E9" s="17">
        <v>2000</v>
      </c>
      <c r="F9" s="17">
        <v>720</v>
      </c>
      <c r="G9" s="17">
        <v>27</v>
      </c>
      <c r="H9" s="17">
        <v>13</v>
      </c>
      <c r="I9" s="17">
        <v>1100</v>
      </c>
    </row>
    <row r="10" spans="1:9" ht="15">
      <c r="A10" s="5">
        <v>2017</v>
      </c>
      <c r="B10" s="18">
        <v>45000</v>
      </c>
      <c r="C10" s="34" t="s">
        <v>13</v>
      </c>
      <c r="D10" s="33" t="s">
        <v>11</v>
      </c>
      <c r="E10" s="17">
        <v>3900</v>
      </c>
      <c r="F10" s="17">
        <v>840</v>
      </c>
      <c r="G10" s="17">
        <v>8</v>
      </c>
      <c r="H10" s="17">
        <v>2</v>
      </c>
      <c r="I10" s="17">
        <v>2400</v>
      </c>
    </row>
    <row r="11" spans="1:9" ht="15">
      <c r="A11" s="5">
        <v>2018</v>
      </c>
      <c r="B11" s="18">
        <v>20000</v>
      </c>
      <c r="C11" s="35" t="s">
        <v>15</v>
      </c>
      <c r="D11" s="33" t="s">
        <v>11</v>
      </c>
      <c r="E11" s="17">
        <v>6000</v>
      </c>
      <c r="F11" s="17">
        <v>1800</v>
      </c>
      <c r="G11" s="17">
        <v>30</v>
      </c>
      <c r="H11" s="17">
        <v>0</v>
      </c>
      <c r="I11" s="17">
        <v>7200</v>
      </c>
    </row>
    <row r="12" spans="1:9" ht="15">
      <c r="A12" s="5">
        <v>2019</v>
      </c>
      <c r="B12" s="18">
        <v>30000</v>
      </c>
      <c r="C12" s="34" t="s">
        <v>16</v>
      </c>
      <c r="D12" s="33" t="s">
        <v>11</v>
      </c>
      <c r="E12" s="17">
        <v>10000</v>
      </c>
      <c r="F12" s="17">
        <v>1900</v>
      </c>
      <c r="G12" s="17">
        <v>100</v>
      </c>
      <c r="H12" s="17">
        <v>7</v>
      </c>
      <c r="I12" s="17">
        <v>11000</v>
      </c>
    </row>
    <row r="13" spans="1:9" ht="15">
      <c r="A13" s="5">
        <v>2020</v>
      </c>
      <c r="B13" s="18">
        <v>65000</v>
      </c>
      <c r="C13" s="34" t="s">
        <v>17</v>
      </c>
      <c r="D13" s="33" t="s">
        <v>11</v>
      </c>
      <c r="E13" s="17">
        <v>18000</v>
      </c>
      <c r="F13" s="17">
        <v>2000</v>
      </c>
      <c r="G13" s="17">
        <v>51</v>
      </c>
      <c r="H13" s="17">
        <v>8</v>
      </c>
      <c r="I13" s="17">
        <v>14000</v>
      </c>
    </row>
    <row r="14" spans="1:9" ht="15">
      <c r="A14" s="5">
        <v>2021</v>
      </c>
      <c r="B14" s="17">
        <v>100000</v>
      </c>
      <c r="C14" s="20" t="s">
        <v>18</v>
      </c>
      <c r="D14" s="33" t="s">
        <v>11</v>
      </c>
      <c r="E14" s="17">
        <v>24000</v>
      </c>
      <c r="F14" s="17">
        <v>2300</v>
      </c>
      <c r="G14" s="17">
        <v>150</v>
      </c>
      <c r="H14" s="17">
        <v>23</v>
      </c>
      <c r="I14" s="17">
        <v>11000</v>
      </c>
    </row>
    <row r="15" spans="1:9" ht="15">
      <c r="A15" s="5">
        <v>2022</v>
      </c>
      <c r="B15" s="17">
        <v>120000</v>
      </c>
      <c r="C15" s="35" t="s">
        <v>18</v>
      </c>
      <c r="D15" s="33" t="s">
        <v>11</v>
      </c>
      <c r="E15" s="17">
        <v>33000</v>
      </c>
      <c r="F15" s="17">
        <v>3500</v>
      </c>
      <c r="G15" s="17">
        <v>250</v>
      </c>
      <c r="H15" s="17">
        <v>210</v>
      </c>
      <c r="I15" s="17">
        <v>16000</v>
      </c>
    </row>
    <row r="16" spans="1:9" ht="15">
      <c r="A16" s="5">
        <v>2023</v>
      </c>
      <c r="B16" s="17">
        <v>190000</v>
      </c>
      <c r="C16" s="35" t="s">
        <v>18</v>
      </c>
      <c r="D16" s="33" t="s">
        <v>11</v>
      </c>
      <c r="E16" s="17">
        <v>57000</v>
      </c>
      <c r="F16" s="17">
        <v>5300</v>
      </c>
      <c r="G16" s="17">
        <v>520</v>
      </c>
      <c r="H16" s="17">
        <v>440</v>
      </c>
      <c r="I16" s="17">
        <v>14000</v>
      </c>
    </row>
    <row r="17" spans="1:9" ht="15">
      <c r="A17" s="5">
        <v>2024</v>
      </c>
      <c r="B17" s="17">
        <v>250000</v>
      </c>
      <c r="C17" s="35" t="s">
        <v>18</v>
      </c>
      <c r="D17" s="33" t="s">
        <v>11</v>
      </c>
      <c r="E17" s="17">
        <v>62000</v>
      </c>
      <c r="F17" s="17">
        <v>4200</v>
      </c>
      <c r="G17" s="17">
        <v>620</v>
      </c>
      <c r="H17" s="17">
        <v>380</v>
      </c>
      <c r="I17" s="17">
        <v>11000</v>
      </c>
    </row>
    <row r="18" spans="1:9" ht="15">
      <c r="A18" s="5">
        <v>2025</v>
      </c>
      <c r="B18" s="18">
        <v>62435</v>
      </c>
      <c r="C18" s="39" t="s">
        <v>19</v>
      </c>
      <c r="D18" s="36" t="s">
        <v>20</v>
      </c>
      <c r="E18" s="17">
        <v>114000</v>
      </c>
      <c r="F18" s="17">
        <v>9000</v>
      </c>
      <c r="G18" s="17">
        <v>477</v>
      </c>
      <c r="H18" s="17">
        <v>130</v>
      </c>
      <c r="I18" s="17">
        <v>20000</v>
      </c>
    </row>
    <row r="19" spans="1:9" ht="15">
      <c r="A19" s="5">
        <v>2026</v>
      </c>
      <c r="B19" s="18">
        <v>99563</v>
      </c>
      <c r="C19" s="39"/>
      <c r="D19" s="36" t="s">
        <v>20</v>
      </c>
      <c r="E19" s="17">
        <v>25500</v>
      </c>
      <c r="F19" s="17">
        <v>2300</v>
      </c>
      <c r="G19" s="17">
        <v>170</v>
      </c>
      <c r="H19" s="17">
        <v>220</v>
      </c>
      <c r="I19" s="17">
        <v>2500</v>
      </c>
    </row>
    <row r="20" spans="1:9" ht="15">
      <c r="C20" s="21"/>
      <c r="D20" s="21"/>
      <c r="E20" t="s">
        <v>21</v>
      </c>
      <c r="F20" t="s">
        <v>22</v>
      </c>
      <c r="G20" t="s">
        <v>21</v>
      </c>
      <c r="H20" t="s">
        <v>21</v>
      </c>
      <c r="I20" t="s">
        <v>21</v>
      </c>
    </row>
  </sheetData>
  <mergeCells count="2">
    <mergeCell ref="C18:C19"/>
    <mergeCell ref="D1:I1"/>
  </mergeCells>
  <hyperlinks>
    <hyperlink ref="C14" r:id="rId1" xr:uid="{7E055BF8-E3C0-4C55-BDAB-F6B8DD865A58}"/>
    <hyperlink ref="C15:C17" r:id="rId2" display="https://www.miteco.gob.es/content/dam/miteco/es/ministerio/planes-estrategias/plan-nacional-integrado-energia-clima/plannacionalintegradodeenergiayclima2021-2030_tcm30-546623.pdf" xr:uid="{DF0DE7D9-88BD-4D8D-8BC5-C1C0D2939766}"/>
    <hyperlink ref="C11" r:id="rId3" xr:uid="{5B656BAC-5D0A-4CCB-B2DA-307678F76640}"/>
    <hyperlink ref="D18" r:id="rId4" xr:uid="{9325C1C2-8DB2-4C58-A6ED-DEDC965FDF56}"/>
    <hyperlink ref="D19" r:id="rId5" xr:uid="{B437157F-05D1-4EE4-9279-21F63372055C}"/>
    <hyperlink ref="C18:C19" r:id="rId6" display="https://www.elespanol.com/motor/20241120/ventas-coches-electricos-subiran-dispararan/902410241_0.html?" xr:uid="{B8CD7C02-9794-4AF5-833B-E82DB94F523E}"/>
    <hyperlink ref="D3" r:id="rId7" xr:uid="{A0D7D326-18E3-4119-BC35-F763DD78C1D8}"/>
  </hyperlinks>
  <pageMargins left="0.7" right="0.7" top="0.75" bottom="0.75" header="0.3" footer="0.3"/>
  <pageSetup paperSize="9" orientation="portrait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53ECD-52BF-4D20-A3E4-BCF66B756C6E}">
  <dimension ref="A1:I22"/>
  <sheetViews>
    <sheetView zoomScale="90" zoomScaleNormal="90" workbookViewId="0">
      <selection activeCell="D19" sqref="D19"/>
    </sheetView>
  </sheetViews>
  <sheetFormatPr defaultColWidth="11.42578125" defaultRowHeight="14.45"/>
  <cols>
    <col min="2" max="2" width="25.7109375" customWidth="1"/>
    <col min="3" max="3" width="69.42578125" customWidth="1"/>
    <col min="4" max="4" width="19.7109375" customWidth="1"/>
    <col min="5" max="5" width="20.28515625" customWidth="1"/>
    <col min="6" max="6" width="18.5703125" customWidth="1"/>
    <col min="7" max="7" width="21.42578125" customWidth="1"/>
    <col min="8" max="8" width="20.28515625" customWidth="1"/>
    <col min="9" max="9" width="13.42578125" customWidth="1"/>
  </cols>
  <sheetData>
    <row r="1" spans="1:9">
      <c r="A1" s="1"/>
      <c r="B1" s="1"/>
      <c r="C1" s="1"/>
      <c r="D1" s="40" t="s">
        <v>0</v>
      </c>
      <c r="E1" s="40"/>
      <c r="F1" s="40"/>
      <c r="G1" s="40"/>
      <c r="H1" s="40"/>
      <c r="I1" s="40"/>
    </row>
    <row r="2" spans="1:9">
      <c r="A2" s="5" t="s">
        <v>1</v>
      </c>
      <c r="B2" s="5" t="s">
        <v>23</v>
      </c>
      <c r="C2" s="5" t="s">
        <v>3</v>
      </c>
      <c r="D2" s="5"/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spans="1:9">
      <c r="A3" s="5">
        <v>2010</v>
      </c>
      <c r="B3" s="16" t="s">
        <v>24</v>
      </c>
      <c r="C3" s="16" t="s">
        <v>24</v>
      </c>
      <c r="D3" s="16" t="s">
        <v>11</v>
      </c>
      <c r="E3" s="10">
        <v>1200</v>
      </c>
      <c r="F3" s="10">
        <v>10</v>
      </c>
      <c r="G3" s="10">
        <v>0</v>
      </c>
      <c r="H3" s="10">
        <v>0</v>
      </c>
      <c r="I3" s="10">
        <v>0</v>
      </c>
    </row>
    <row r="4" spans="1:9">
      <c r="A4" s="5">
        <v>2011</v>
      </c>
      <c r="B4" s="16">
        <f>1000+400+15000+200+25000+1000+1000+2000</f>
        <v>45600</v>
      </c>
      <c r="C4" s="15" t="s">
        <v>25</v>
      </c>
      <c r="D4" s="16" t="s">
        <v>11</v>
      </c>
      <c r="E4" s="10">
        <v>9800</v>
      </c>
      <c r="F4" s="10">
        <v>180</v>
      </c>
      <c r="G4" s="10">
        <v>0</v>
      </c>
      <c r="H4" s="10">
        <v>0</v>
      </c>
      <c r="I4" s="10">
        <v>0</v>
      </c>
    </row>
    <row r="5" spans="1:9" ht="15">
      <c r="A5" s="5">
        <v>2012</v>
      </c>
      <c r="B5" s="16">
        <f>5000+5000+10000+800+120000+800+25000+1000+5000+5000</f>
        <v>177600</v>
      </c>
      <c r="C5" s="32" t="s">
        <v>25</v>
      </c>
      <c r="D5" s="34" t="s">
        <v>11</v>
      </c>
      <c r="E5" s="10">
        <v>15000</v>
      </c>
      <c r="F5" s="10">
        <v>820</v>
      </c>
      <c r="G5" s="10">
        <v>0</v>
      </c>
      <c r="H5" s="10">
        <v>0</v>
      </c>
      <c r="I5" s="10">
        <v>460</v>
      </c>
    </row>
    <row r="6" spans="1:9" ht="15">
      <c r="A6" s="5">
        <v>2013</v>
      </c>
      <c r="B6" s="16">
        <f>10000+40000+20000+1000+120000+1000+50000+1000+10000+10000</f>
        <v>263000</v>
      </c>
      <c r="C6" s="32" t="s">
        <v>25</v>
      </c>
      <c r="D6" s="34" t="s">
        <v>11</v>
      </c>
      <c r="E6" s="10">
        <v>48000</v>
      </c>
      <c r="F6" s="10">
        <v>1100</v>
      </c>
      <c r="G6" s="10">
        <v>0</v>
      </c>
      <c r="H6" s="10">
        <v>0</v>
      </c>
      <c r="I6" s="10">
        <v>650</v>
      </c>
    </row>
    <row r="7" spans="1:9" ht="15">
      <c r="A7" s="5">
        <v>2014</v>
      </c>
      <c r="B7" s="16">
        <f>10000+75000+20000+1000+120000+1000+100000+1000+20000+20000</f>
        <v>368000</v>
      </c>
      <c r="C7" s="32" t="s">
        <v>25</v>
      </c>
      <c r="D7" s="34" t="s">
        <v>11</v>
      </c>
      <c r="E7" s="10">
        <v>63000</v>
      </c>
      <c r="F7" s="10">
        <v>1500</v>
      </c>
      <c r="G7" s="10">
        <v>21</v>
      </c>
      <c r="H7" s="10">
        <v>0</v>
      </c>
      <c r="I7" s="10">
        <v>780</v>
      </c>
    </row>
    <row r="8" spans="1:9" ht="15">
      <c r="A8" s="5">
        <v>2015</v>
      </c>
      <c r="B8" s="16">
        <f>10000+75000+20000+1000+120000+1000+100000+1000+20000+20000</f>
        <v>368000</v>
      </c>
      <c r="C8" s="32" t="s">
        <v>25</v>
      </c>
      <c r="D8" s="34" t="s">
        <v>11</v>
      </c>
      <c r="E8" s="10">
        <v>71000</v>
      </c>
      <c r="F8" s="10">
        <v>1100</v>
      </c>
      <c r="G8" s="10">
        <v>44</v>
      </c>
      <c r="H8" s="10">
        <v>0</v>
      </c>
      <c r="I8" s="10">
        <v>1100</v>
      </c>
    </row>
    <row r="9" spans="1:9" ht="15">
      <c r="A9" s="5">
        <v>2016</v>
      </c>
      <c r="B9" s="16">
        <v>150000</v>
      </c>
      <c r="C9" s="37" t="s">
        <v>26</v>
      </c>
      <c r="D9" s="34" t="s">
        <v>11</v>
      </c>
      <c r="E9" s="10">
        <v>87000</v>
      </c>
      <c r="F9" s="10">
        <v>0</v>
      </c>
      <c r="G9" s="10">
        <v>330</v>
      </c>
      <c r="H9" s="10">
        <v>0</v>
      </c>
      <c r="I9" s="10">
        <v>1700</v>
      </c>
    </row>
    <row r="10" spans="1:9" ht="15">
      <c r="A10" s="5">
        <v>2017</v>
      </c>
      <c r="B10" s="16">
        <v>250000</v>
      </c>
      <c r="C10" s="33" t="s">
        <v>27</v>
      </c>
      <c r="D10" s="34" t="s">
        <v>11</v>
      </c>
      <c r="E10" s="10">
        <v>100000</v>
      </c>
      <c r="F10" s="10">
        <v>0</v>
      </c>
      <c r="G10" s="10">
        <v>150</v>
      </c>
      <c r="H10" s="10">
        <v>297</v>
      </c>
      <c r="I10" s="10">
        <v>2300</v>
      </c>
    </row>
    <row r="11" spans="1:9" ht="15">
      <c r="A11" s="5">
        <v>2018</v>
      </c>
      <c r="B11" s="16">
        <v>250000</v>
      </c>
      <c r="C11" s="33" t="s">
        <v>28</v>
      </c>
      <c r="D11" s="34" t="s">
        <v>11</v>
      </c>
      <c r="E11" s="10">
        <v>240000</v>
      </c>
      <c r="F11" s="10">
        <v>0</v>
      </c>
      <c r="G11" s="10">
        <v>470</v>
      </c>
      <c r="H11" s="10">
        <v>132</v>
      </c>
      <c r="I11" s="10">
        <v>2800</v>
      </c>
    </row>
    <row r="12" spans="1:9" ht="15">
      <c r="A12" s="5">
        <v>2019</v>
      </c>
      <c r="B12" s="16">
        <v>300000</v>
      </c>
      <c r="C12" s="33" t="s">
        <v>29</v>
      </c>
      <c r="D12" s="34" t="s">
        <v>11</v>
      </c>
      <c r="E12" s="10">
        <v>240000</v>
      </c>
      <c r="F12" s="10">
        <v>0</v>
      </c>
      <c r="G12" s="10">
        <v>560</v>
      </c>
      <c r="H12" s="10">
        <v>189</v>
      </c>
      <c r="I12" s="10">
        <v>6300</v>
      </c>
    </row>
    <row r="13" spans="1:9" ht="15">
      <c r="A13" s="5">
        <v>2020</v>
      </c>
      <c r="B13" s="16">
        <v>330000</v>
      </c>
      <c r="C13" s="33" t="s">
        <v>30</v>
      </c>
      <c r="D13" s="34" t="s">
        <v>11</v>
      </c>
      <c r="E13" s="10">
        <v>230000</v>
      </c>
      <c r="F13" s="10">
        <v>0</v>
      </c>
      <c r="G13" s="10">
        <v>660</v>
      </c>
      <c r="H13" s="10">
        <v>383</v>
      </c>
      <c r="I13" s="10">
        <v>8000</v>
      </c>
    </row>
    <row r="14" spans="1:9" ht="15">
      <c r="A14" s="5">
        <v>2021</v>
      </c>
      <c r="B14" s="16">
        <v>400000</v>
      </c>
      <c r="C14" s="37" t="s">
        <v>31</v>
      </c>
      <c r="D14" s="34" t="s">
        <v>11</v>
      </c>
      <c r="E14" s="10">
        <v>470000</v>
      </c>
      <c r="F14" s="10">
        <v>15</v>
      </c>
      <c r="G14" s="10">
        <v>500</v>
      </c>
      <c r="H14" s="10">
        <v>803</v>
      </c>
      <c r="I14" s="10">
        <v>8900</v>
      </c>
    </row>
    <row r="15" spans="1:9" ht="15">
      <c r="A15" s="5">
        <v>2022</v>
      </c>
      <c r="B15" s="16">
        <v>800000</v>
      </c>
      <c r="C15" s="33" t="s">
        <v>32</v>
      </c>
      <c r="D15" s="34" t="s">
        <v>11</v>
      </c>
      <c r="E15" s="10">
        <v>800000</v>
      </c>
      <c r="F15" s="10">
        <v>9000</v>
      </c>
      <c r="G15" s="10">
        <v>1000</v>
      </c>
      <c r="H15" s="10">
        <v>9842</v>
      </c>
      <c r="I15" s="10">
        <v>9600</v>
      </c>
    </row>
    <row r="16" spans="1:9" ht="15">
      <c r="A16" s="5">
        <v>2023</v>
      </c>
      <c r="B16" s="16">
        <v>1000000</v>
      </c>
      <c r="C16" s="33" t="s">
        <v>33</v>
      </c>
      <c r="D16" s="34" t="s">
        <v>11</v>
      </c>
      <c r="E16" s="10">
        <v>1100000</v>
      </c>
      <c r="F16" s="10">
        <v>17000</v>
      </c>
      <c r="G16" s="10">
        <v>3600</v>
      </c>
      <c r="H16" s="10">
        <v>25378</v>
      </c>
      <c r="I16" s="10">
        <v>7800</v>
      </c>
    </row>
    <row r="17" spans="1:9" ht="15">
      <c r="A17" s="5">
        <v>2024</v>
      </c>
      <c r="B17" s="16">
        <v>1500000</v>
      </c>
      <c r="C17" s="33" t="s">
        <v>34</v>
      </c>
      <c r="D17" s="34" t="s">
        <v>11</v>
      </c>
      <c r="E17" s="10">
        <v>1200000</v>
      </c>
      <c r="F17" s="10">
        <v>26000</v>
      </c>
      <c r="G17" s="10">
        <v>2200</v>
      </c>
      <c r="H17" s="10">
        <v>22692</v>
      </c>
      <c r="I17" s="10">
        <v>7100</v>
      </c>
    </row>
    <row r="18" spans="1:9" ht="15">
      <c r="A18" s="5">
        <v>2025</v>
      </c>
      <c r="B18" s="16">
        <v>2600000</v>
      </c>
      <c r="C18" s="33" t="s">
        <v>35</v>
      </c>
      <c r="D18" s="36" t="s">
        <v>36</v>
      </c>
      <c r="E18" s="10">
        <v>1275714</v>
      </c>
      <c r="F18" s="10">
        <v>18500</v>
      </c>
      <c r="G18" s="10">
        <v>3800</v>
      </c>
      <c r="H18" s="10">
        <v>28500</v>
      </c>
      <c r="I18" s="10">
        <v>9200</v>
      </c>
    </row>
    <row r="19" spans="1:9" ht="15">
      <c r="A19" s="5">
        <v>2026</v>
      </c>
      <c r="B19" s="16">
        <v>3800000</v>
      </c>
      <c r="C19" s="33" t="s">
        <v>37</v>
      </c>
      <c r="D19" s="36" t="s">
        <v>36</v>
      </c>
      <c r="E19" s="10">
        <v>212600</v>
      </c>
      <c r="F19" s="10">
        <v>5100</v>
      </c>
      <c r="G19" s="10">
        <v>1150</v>
      </c>
      <c r="H19" s="10">
        <v>7800</v>
      </c>
      <c r="I19" s="10">
        <v>2650</v>
      </c>
    </row>
    <row r="20" spans="1:9" ht="15">
      <c r="C20" s="21"/>
      <c r="D20" s="21"/>
      <c r="E20" t="s">
        <v>21</v>
      </c>
      <c r="F20" t="s">
        <v>21</v>
      </c>
      <c r="G20" t="s">
        <v>21</v>
      </c>
      <c r="H20" t="s">
        <v>21</v>
      </c>
      <c r="I20" t="s">
        <v>21</v>
      </c>
    </row>
    <row r="21" spans="1:9">
      <c r="A21" t="s">
        <v>38</v>
      </c>
    </row>
    <row r="22" spans="1:9">
      <c r="A22" t="s">
        <v>39</v>
      </c>
    </row>
  </sheetData>
  <mergeCells count="1">
    <mergeCell ref="D1:I1"/>
  </mergeCells>
  <hyperlinks>
    <hyperlink ref="C9" r:id="rId1" xr:uid="{0B3B291D-8234-45F5-B634-08A30E081DB3}"/>
    <hyperlink ref="C14" r:id="rId2" xr:uid="{39F9CE9A-D1DD-4440-B212-F4612E389299}"/>
    <hyperlink ref="D18" r:id="rId3" xr:uid="{3A55D42A-AC33-4F5E-94FA-183BB3BAA357}"/>
    <hyperlink ref="D19" r:id="rId4" xr:uid="{0D77E0DE-1FD3-411D-9EEE-384F234B2BD7}"/>
  </hyperlinks>
  <pageMargins left="0.7" right="0.7" top="0.75" bottom="0.75" header="0.3" footer="0.3"/>
  <pageSetup paperSize="9" orientation="portrait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08F08-38CC-4472-8729-BE240ECE672E}">
  <dimension ref="A1:I20"/>
  <sheetViews>
    <sheetView zoomScaleNormal="100" workbookViewId="0">
      <selection activeCell="D19" sqref="D19"/>
    </sheetView>
  </sheetViews>
  <sheetFormatPr defaultColWidth="11.42578125" defaultRowHeight="14.45"/>
  <cols>
    <col min="2" max="2" width="20.7109375" customWidth="1"/>
    <col min="4" max="4" width="25.28515625" customWidth="1"/>
    <col min="5" max="5" width="17.42578125" customWidth="1"/>
    <col min="6" max="6" width="14" customWidth="1"/>
    <col min="8" max="8" width="15.140625" customWidth="1"/>
  </cols>
  <sheetData>
    <row r="1" spans="1:9" ht="14.45" customHeight="1">
      <c r="A1" s="1"/>
      <c r="B1" s="1"/>
      <c r="C1" s="1"/>
      <c r="D1" s="40" t="s">
        <v>0</v>
      </c>
      <c r="E1" s="40"/>
      <c r="F1" s="40"/>
      <c r="G1" s="40"/>
      <c r="H1" s="40"/>
      <c r="I1" s="40"/>
    </row>
    <row r="2" spans="1:9">
      <c r="A2" s="5" t="s">
        <v>1</v>
      </c>
      <c r="B2" s="5" t="s">
        <v>40</v>
      </c>
      <c r="C2" s="5" t="s">
        <v>3</v>
      </c>
      <c r="D2" s="5" t="s">
        <v>41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spans="1:9">
      <c r="A3" s="5">
        <v>2010</v>
      </c>
      <c r="B3" s="16">
        <v>20000</v>
      </c>
      <c r="C3" s="15" t="s">
        <v>42</v>
      </c>
      <c r="D3" s="15" t="s">
        <v>11</v>
      </c>
      <c r="E3" s="16">
        <v>1100</v>
      </c>
      <c r="F3" s="16">
        <v>120</v>
      </c>
      <c r="G3" s="16">
        <v>970</v>
      </c>
      <c r="H3" s="16">
        <v>0</v>
      </c>
      <c r="I3" s="16">
        <v>0</v>
      </c>
    </row>
    <row r="4" spans="1:9">
      <c r="A4" s="5">
        <v>2011</v>
      </c>
      <c r="B4" s="16">
        <v>30000</v>
      </c>
      <c r="C4" s="15" t="s">
        <v>43</v>
      </c>
      <c r="D4" s="15" t="s">
        <v>11</v>
      </c>
      <c r="E4" s="16">
        <v>4800</v>
      </c>
      <c r="F4" s="16">
        <v>150</v>
      </c>
      <c r="G4" s="16">
        <v>440</v>
      </c>
      <c r="H4" s="16">
        <v>0</v>
      </c>
      <c r="I4" s="16">
        <v>0</v>
      </c>
    </row>
    <row r="5" spans="1:9">
      <c r="A5" s="5">
        <v>2012</v>
      </c>
      <c r="B5" s="16">
        <v>50000</v>
      </c>
      <c r="C5" s="15" t="s">
        <v>44</v>
      </c>
      <c r="D5" s="15" t="s">
        <v>11</v>
      </c>
      <c r="E5" s="16">
        <v>9600</v>
      </c>
      <c r="F5" s="16">
        <v>670</v>
      </c>
      <c r="G5" s="16">
        <v>1400</v>
      </c>
      <c r="H5" s="16">
        <v>0</v>
      </c>
      <c r="I5" s="16">
        <v>1700000</v>
      </c>
    </row>
    <row r="6" spans="1:9">
      <c r="A6" s="5">
        <v>2013</v>
      </c>
      <c r="B6" s="16">
        <v>40000</v>
      </c>
      <c r="C6" s="15" t="s">
        <v>45</v>
      </c>
      <c r="D6" s="15" t="s">
        <v>11</v>
      </c>
      <c r="E6" s="16">
        <v>15000</v>
      </c>
      <c r="F6" s="16">
        <v>750</v>
      </c>
      <c r="G6" s="16">
        <v>2000</v>
      </c>
      <c r="H6" s="16">
        <v>0</v>
      </c>
      <c r="I6" s="16">
        <v>2000000</v>
      </c>
    </row>
    <row r="7" spans="1:9">
      <c r="A7" s="5">
        <v>2014</v>
      </c>
      <c r="B7" s="16">
        <v>100000</v>
      </c>
      <c r="C7" s="15" t="s">
        <v>46</v>
      </c>
      <c r="D7" s="15" t="s">
        <v>11</v>
      </c>
      <c r="E7" s="16">
        <v>49000</v>
      </c>
      <c r="F7" s="16">
        <v>480</v>
      </c>
      <c r="G7" s="16">
        <v>4000</v>
      </c>
      <c r="H7" s="16">
        <v>0</v>
      </c>
      <c r="I7" s="16">
        <v>2400000</v>
      </c>
    </row>
    <row r="8" spans="1:9">
      <c r="A8" s="5">
        <v>2015</v>
      </c>
      <c r="B8" s="16">
        <v>500000</v>
      </c>
      <c r="C8" s="16" t="s">
        <v>47</v>
      </c>
      <c r="D8" s="15" t="s">
        <v>11</v>
      </c>
      <c r="E8" s="16">
        <v>150000</v>
      </c>
      <c r="F8" s="16">
        <v>15000</v>
      </c>
      <c r="G8" s="16">
        <v>43000</v>
      </c>
      <c r="H8" s="16">
        <v>17000</v>
      </c>
      <c r="I8" s="16">
        <v>2700000</v>
      </c>
    </row>
    <row r="9" spans="1:9">
      <c r="A9" s="5">
        <v>2016</v>
      </c>
      <c r="B9" s="16">
        <v>600000</v>
      </c>
      <c r="C9" s="16" t="s">
        <v>45</v>
      </c>
      <c r="D9" s="15" t="s">
        <v>11</v>
      </c>
      <c r="E9" s="16">
        <v>260000</v>
      </c>
      <c r="F9" s="16">
        <v>11000</v>
      </c>
      <c r="G9" s="16">
        <v>76000</v>
      </c>
      <c r="H9" s="16">
        <v>46000</v>
      </c>
      <c r="I9" s="16">
        <v>2800000</v>
      </c>
    </row>
    <row r="10" spans="1:9">
      <c r="A10" s="5">
        <v>2017</v>
      </c>
      <c r="B10" s="16">
        <v>800000</v>
      </c>
      <c r="C10" s="16" t="s">
        <v>45</v>
      </c>
      <c r="D10" s="15" t="s">
        <v>11</v>
      </c>
      <c r="E10" s="16">
        <v>470000</v>
      </c>
      <c r="F10" s="16">
        <v>68000</v>
      </c>
      <c r="G10" s="16">
        <v>88000</v>
      </c>
      <c r="H10" s="16">
        <v>71000</v>
      </c>
      <c r="I10" s="16">
        <v>3200000</v>
      </c>
    </row>
    <row r="11" spans="1:9">
      <c r="A11" s="5">
        <v>2018</v>
      </c>
      <c r="B11" s="16">
        <v>1000000</v>
      </c>
      <c r="C11" s="16" t="s">
        <v>45</v>
      </c>
      <c r="D11" s="15" t="s">
        <v>11</v>
      </c>
      <c r="E11" s="16">
        <v>820000</v>
      </c>
      <c r="F11" s="16">
        <v>54000</v>
      </c>
      <c r="G11" s="16">
        <v>83000</v>
      </c>
      <c r="H11" s="16">
        <v>36000</v>
      </c>
      <c r="I11" s="16">
        <v>4500000</v>
      </c>
    </row>
    <row r="12" spans="1:9">
      <c r="A12" s="5">
        <v>2019</v>
      </c>
      <c r="B12" s="16">
        <v>1500000</v>
      </c>
      <c r="C12" s="16" t="s">
        <v>45</v>
      </c>
      <c r="D12" s="15" t="s">
        <v>11</v>
      </c>
      <c r="E12" s="16">
        <v>83000</v>
      </c>
      <c r="F12" s="16">
        <v>27000</v>
      </c>
      <c r="G12" s="16">
        <v>68000</v>
      </c>
      <c r="H12" s="16">
        <v>24000</v>
      </c>
      <c r="I12" s="16">
        <v>5800000</v>
      </c>
    </row>
    <row r="13" spans="1:9">
      <c r="A13" s="5">
        <v>2020</v>
      </c>
      <c r="B13" s="16">
        <v>1100000</v>
      </c>
      <c r="C13" s="16" t="s">
        <v>45</v>
      </c>
      <c r="D13" s="15" t="s">
        <v>11</v>
      </c>
      <c r="E13" s="16">
        <v>920000</v>
      </c>
      <c r="F13" s="16">
        <v>26000</v>
      </c>
      <c r="G13" s="16">
        <v>55000</v>
      </c>
      <c r="H13" s="16">
        <v>17000</v>
      </c>
      <c r="I13" s="16">
        <v>8200000</v>
      </c>
    </row>
    <row r="14" spans="1:9">
      <c r="A14" s="5">
        <v>2021</v>
      </c>
      <c r="B14" s="16">
        <v>1800000</v>
      </c>
      <c r="C14" s="16" t="s">
        <v>45</v>
      </c>
      <c r="D14" s="15" t="s">
        <v>11</v>
      </c>
      <c r="E14" s="16">
        <v>2700000</v>
      </c>
      <c r="F14" s="16">
        <v>71000</v>
      </c>
      <c r="G14" s="16">
        <v>42000</v>
      </c>
      <c r="H14" s="16">
        <v>12000</v>
      </c>
      <c r="I14" s="16">
        <v>11000000</v>
      </c>
    </row>
    <row r="15" spans="1:9">
      <c r="A15" s="5">
        <v>2022</v>
      </c>
      <c r="B15" s="16">
        <v>5000000</v>
      </c>
      <c r="C15" s="16" t="s">
        <v>45</v>
      </c>
      <c r="D15" s="15" t="s">
        <v>11</v>
      </c>
      <c r="E15" s="16">
        <v>4400000</v>
      </c>
      <c r="F15" s="16">
        <v>170000</v>
      </c>
      <c r="G15" s="16">
        <v>44000</v>
      </c>
      <c r="H15" s="16">
        <v>27000</v>
      </c>
      <c r="I15" s="16">
        <v>8000000</v>
      </c>
    </row>
    <row r="16" spans="1:9">
      <c r="A16" s="5">
        <v>2023</v>
      </c>
      <c r="B16" s="16">
        <v>8500000</v>
      </c>
      <c r="C16" s="16" t="s">
        <v>45</v>
      </c>
      <c r="D16" s="15" t="s">
        <v>11</v>
      </c>
      <c r="E16" s="16">
        <v>5400000</v>
      </c>
      <c r="F16" s="16">
        <v>240000</v>
      </c>
      <c r="G16" s="16">
        <v>31000</v>
      </c>
      <c r="H16" s="16">
        <v>36000</v>
      </c>
      <c r="I16" s="16">
        <v>7800000</v>
      </c>
    </row>
    <row r="17" spans="1:9">
      <c r="A17" s="5">
        <v>2024</v>
      </c>
      <c r="B17" s="16">
        <v>11500000</v>
      </c>
      <c r="C17" s="16" t="s">
        <v>48</v>
      </c>
      <c r="D17" s="15" t="s">
        <v>11</v>
      </c>
      <c r="E17" s="16">
        <v>6400000</v>
      </c>
      <c r="F17" s="16">
        <v>450000</v>
      </c>
      <c r="G17" s="16">
        <v>48000</v>
      </c>
      <c r="H17" s="16">
        <v>76000</v>
      </c>
      <c r="I17" s="16">
        <v>7200000</v>
      </c>
    </row>
    <row r="18" spans="1:9" ht="15">
      <c r="A18" s="5">
        <v>2025</v>
      </c>
      <c r="B18" s="16">
        <v>13000000</v>
      </c>
      <c r="C18" s="16" t="s">
        <v>49</v>
      </c>
      <c r="D18" s="20" t="s">
        <v>46</v>
      </c>
      <c r="E18" s="16">
        <v>8300000</v>
      </c>
      <c r="F18" s="16">
        <v>650000</v>
      </c>
      <c r="G18" s="16">
        <v>85000</v>
      </c>
      <c r="H18" s="16">
        <v>230000</v>
      </c>
      <c r="I18" s="16">
        <v>12600000</v>
      </c>
    </row>
    <row r="19" spans="1:9" ht="15">
      <c r="A19" s="5">
        <v>2026</v>
      </c>
      <c r="B19" s="16">
        <v>16000000</v>
      </c>
      <c r="C19" s="16" t="s">
        <v>50</v>
      </c>
      <c r="D19" s="20" t="s">
        <v>46</v>
      </c>
      <c r="E19" s="16">
        <v>1300000</v>
      </c>
      <c r="F19" s="16">
        <v>135000</v>
      </c>
      <c r="G19" s="16">
        <v>18000</v>
      </c>
      <c r="H19" s="16">
        <v>45000</v>
      </c>
      <c r="I19" s="16">
        <v>2800000</v>
      </c>
    </row>
    <row r="20" spans="1:9">
      <c r="E20" t="s">
        <v>21</v>
      </c>
      <c r="F20" t="s">
        <v>21</v>
      </c>
      <c r="G20" t="s">
        <v>21</v>
      </c>
      <c r="H20" t="s">
        <v>21</v>
      </c>
      <c r="I20" t="s">
        <v>21</v>
      </c>
    </row>
  </sheetData>
  <mergeCells count="1">
    <mergeCell ref="D1:I1"/>
  </mergeCells>
  <hyperlinks>
    <hyperlink ref="D18" r:id="rId1" xr:uid="{182E4945-F60F-444B-9BC7-7DD945CFF995}"/>
    <hyperlink ref="D19" r:id="rId2" xr:uid="{0F559BC2-4D96-427D-B112-88F184FA7C03}"/>
  </hyperlinks>
  <pageMargins left="0.7" right="0.7" top="0.75" bottom="0.75" header="0.3" footer="0.3"/>
  <pageSetup paperSize="9"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B8D6A-8586-4D0A-AC70-9263C31FBC3D}">
  <dimension ref="A1:I20"/>
  <sheetViews>
    <sheetView tabSelected="1" zoomScale="90" zoomScaleNormal="90" workbookViewId="0">
      <selection activeCell="C19" sqref="C3:C19"/>
    </sheetView>
  </sheetViews>
  <sheetFormatPr defaultColWidth="11.42578125" defaultRowHeight="14.45"/>
  <cols>
    <col min="2" max="2" width="21.85546875" customWidth="1"/>
    <col min="4" max="4" width="18.7109375" customWidth="1"/>
    <col min="5" max="5" width="18" customWidth="1"/>
    <col min="6" max="6" width="16.140625" customWidth="1"/>
    <col min="7" max="7" width="14.140625" customWidth="1"/>
    <col min="8" max="8" width="14.42578125" customWidth="1"/>
  </cols>
  <sheetData>
    <row r="1" spans="1:9" ht="14.45" customHeight="1">
      <c r="A1" s="2"/>
      <c r="B1" s="2"/>
      <c r="C1" s="2"/>
      <c r="D1" s="38" t="s">
        <v>0</v>
      </c>
      <c r="E1" s="38"/>
      <c r="F1" s="38"/>
      <c r="G1" s="38"/>
      <c r="H1" s="38"/>
      <c r="I1" s="38"/>
    </row>
    <row r="2" spans="1:9" ht="30.75">
      <c r="A2" s="3" t="s">
        <v>1</v>
      </c>
      <c r="B2" s="3" t="s">
        <v>23</v>
      </c>
      <c r="C2" s="3" t="s">
        <v>3</v>
      </c>
      <c r="D2" s="3" t="s">
        <v>41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>
      <c r="A3" s="3">
        <v>2010</v>
      </c>
      <c r="B3" s="4">
        <v>3000</v>
      </c>
      <c r="C3" s="15" t="s">
        <v>51</v>
      </c>
      <c r="D3" s="15" t="s">
        <v>11</v>
      </c>
      <c r="E3" s="4">
        <v>1700</v>
      </c>
      <c r="F3" s="4">
        <v>1000</v>
      </c>
      <c r="G3" s="4">
        <v>130</v>
      </c>
      <c r="H3" s="4">
        <v>36</v>
      </c>
      <c r="I3" s="4">
        <v>560</v>
      </c>
    </row>
    <row r="4" spans="1:9">
      <c r="A4" s="3">
        <v>2011</v>
      </c>
      <c r="B4" s="4">
        <v>25000</v>
      </c>
      <c r="C4" s="15" t="s">
        <v>52</v>
      </c>
      <c r="D4" s="15" t="s">
        <v>11</v>
      </c>
      <c r="E4" s="4">
        <v>11000</v>
      </c>
      <c r="F4" s="4">
        <v>2000</v>
      </c>
      <c r="G4" s="4">
        <v>38</v>
      </c>
      <c r="H4" s="4">
        <v>18</v>
      </c>
      <c r="I4" s="4">
        <v>480</v>
      </c>
    </row>
    <row r="5" spans="1:9">
      <c r="A5" s="3">
        <v>2012</v>
      </c>
      <c r="B5" s="4">
        <v>30000</v>
      </c>
      <c r="C5" s="15" t="s">
        <v>53</v>
      </c>
      <c r="D5" s="15" t="s">
        <v>11</v>
      </c>
      <c r="E5" s="4">
        <v>19000</v>
      </c>
      <c r="F5" s="4">
        <v>6900</v>
      </c>
      <c r="G5" s="4">
        <v>68</v>
      </c>
      <c r="H5" s="4">
        <v>19</v>
      </c>
      <c r="I5" s="4">
        <v>12000</v>
      </c>
    </row>
    <row r="6" spans="1:9">
      <c r="A6" s="3">
        <v>2013</v>
      </c>
      <c r="B6" s="4">
        <v>60000</v>
      </c>
      <c r="C6" s="15" t="s">
        <v>54</v>
      </c>
      <c r="D6" s="15" t="s">
        <v>11</v>
      </c>
      <c r="E6" s="4">
        <v>33000</v>
      </c>
      <c r="F6" s="4">
        <v>7400</v>
      </c>
      <c r="G6" s="4">
        <v>120</v>
      </c>
      <c r="H6" s="4">
        <v>24</v>
      </c>
      <c r="I6" s="4">
        <v>8400</v>
      </c>
    </row>
    <row r="7" spans="1:9">
      <c r="A7" s="3">
        <v>2014</v>
      </c>
      <c r="B7" s="4">
        <v>90000</v>
      </c>
      <c r="C7" s="15" t="s">
        <v>55</v>
      </c>
      <c r="D7" s="15" t="s">
        <v>11</v>
      </c>
      <c r="E7" s="4">
        <v>62000</v>
      </c>
      <c r="F7" s="4">
        <v>8300</v>
      </c>
      <c r="G7" s="4">
        <v>310</v>
      </c>
      <c r="H7" s="4">
        <v>46</v>
      </c>
      <c r="I7" s="4">
        <v>9400</v>
      </c>
    </row>
    <row r="8" spans="1:9">
      <c r="A8" s="3">
        <v>2015</v>
      </c>
      <c r="B8" s="4">
        <v>150000</v>
      </c>
      <c r="C8" s="16" t="s">
        <v>56</v>
      </c>
      <c r="D8" s="15" t="s">
        <v>11</v>
      </c>
      <c r="E8" s="4">
        <v>89000</v>
      </c>
      <c r="F8" s="4">
        <v>9600</v>
      </c>
      <c r="G8" s="4">
        <v>190</v>
      </c>
      <c r="H8" s="4">
        <v>30</v>
      </c>
      <c r="I8" s="4">
        <v>14000</v>
      </c>
    </row>
    <row r="9" spans="1:9">
      <c r="A9" s="3">
        <v>2016</v>
      </c>
      <c r="B9" s="4">
        <v>120000</v>
      </c>
      <c r="C9" s="16" t="s">
        <v>57</v>
      </c>
      <c r="D9" s="15" t="s">
        <v>11</v>
      </c>
      <c r="E9" s="4">
        <v>93000</v>
      </c>
      <c r="F9" s="4">
        <v>12000</v>
      </c>
      <c r="G9" s="4">
        <v>570</v>
      </c>
      <c r="H9" s="4">
        <v>62</v>
      </c>
      <c r="I9" s="4">
        <v>19000</v>
      </c>
    </row>
    <row r="10" spans="1:9">
      <c r="A10" s="3">
        <v>2017</v>
      </c>
      <c r="B10" s="4">
        <v>280000</v>
      </c>
      <c r="C10" s="16" t="s">
        <v>58</v>
      </c>
      <c r="D10" s="15" t="s">
        <v>11</v>
      </c>
      <c r="E10" s="4">
        <v>140000</v>
      </c>
      <c r="F10" s="4">
        <v>15000</v>
      </c>
      <c r="G10" s="4">
        <v>570</v>
      </c>
      <c r="H10" s="4">
        <v>47</v>
      </c>
      <c r="I10" s="4">
        <v>31000</v>
      </c>
    </row>
    <row r="11" spans="1:9">
      <c r="A11" s="3">
        <v>2018</v>
      </c>
      <c r="B11" s="4">
        <v>430000</v>
      </c>
      <c r="C11" s="16" t="s">
        <v>59</v>
      </c>
      <c r="D11" s="15" t="s">
        <v>11</v>
      </c>
      <c r="E11" s="4">
        <v>200000</v>
      </c>
      <c r="F11" s="4">
        <v>23000</v>
      </c>
      <c r="G11" s="4">
        <v>800</v>
      </c>
      <c r="H11" s="4">
        <v>390</v>
      </c>
      <c r="I11" s="4">
        <v>47000</v>
      </c>
    </row>
    <row r="12" spans="1:9">
      <c r="A12" s="3">
        <v>2019</v>
      </c>
      <c r="B12" s="4">
        <v>550000</v>
      </c>
      <c r="C12" s="16" t="s">
        <v>60</v>
      </c>
      <c r="D12" s="15" t="s">
        <v>11</v>
      </c>
      <c r="E12" s="4">
        <v>360000</v>
      </c>
      <c r="F12" s="4">
        <v>27000</v>
      </c>
      <c r="G12" s="4">
        <v>2000</v>
      </c>
      <c r="H12" s="4">
        <v>850</v>
      </c>
      <c r="I12" s="4">
        <v>76000</v>
      </c>
    </row>
    <row r="13" spans="1:9">
      <c r="A13" s="3">
        <v>2020</v>
      </c>
      <c r="B13" s="4">
        <v>1000000</v>
      </c>
      <c r="C13" s="16" t="s">
        <v>60</v>
      </c>
      <c r="D13" s="15" t="s">
        <v>11</v>
      </c>
      <c r="E13" s="4">
        <v>750000</v>
      </c>
      <c r="F13" s="4">
        <v>35000</v>
      </c>
      <c r="G13" s="4">
        <v>2400</v>
      </c>
      <c r="H13" s="4">
        <v>1100</v>
      </c>
      <c r="I13" s="4">
        <v>96000</v>
      </c>
    </row>
    <row r="14" spans="1:9">
      <c r="A14" s="3">
        <v>2021</v>
      </c>
      <c r="B14" s="4">
        <v>2000000</v>
      </c>
      <c r="C14" s="16" t="s">
        <v>61</v>
      </c>
      <c r="D14" s="15" t="s">
        <v>11</v>
      </c>
      <c r="E14" s="4">
        <v>1200000</v>
      </c>
      <c r="F14" s="4">
        <v>57000</v>
      </c>
      <c r="G14" s="4">
        <v>3900</v>
      </c>
      <c r="H14" s="4">
        <v>1800</v>
      </c>
      <c r="I14" s="4">
        <v>120000</v>
      </c>
    </row>
    <row r="15" spans="1:9">
      <c r="A15" s="3">
        <v>2022</v>
      </c>
      <c r="B15" s="4">
        <v>2500000</v>
      </c>
      <c r="C15" s="16" t="s">
        <v>60</v>
      </c>
      <c r="D15" s="15" t="s">
        <v>11</v>
      </c>
      <c r="E15" s="4">
        <v>1600000</v>
      </c>
      <c r="F15" s="4">
        <v>86000</v>
      </c>
      <c r="G15" s="4">
        <v>4900</v>
      </c>
      <c r="H15" s="4">
        <v>3600</v>
      </c>
      <c r="I15" s="4">
        <v>180000</v>
      </c>
    </row>
    <row r="16" spans="1:9">
      <c r="A16" s="3">
        <v>2023</v>
      </c>
      <c r="B16" s="4">
        <v>3100000</v>
      </c>
      <c r="C16" s="16" t="s">
        <v>62</v>
      </c>
      <c r="D16" s="15" t="s">
        <v>11</v>
      </c>
      <c r="E16" s="4">
        <v>2200000</v>
      </c>
      <c r="F16" s="4">
        <v>130000</v>
      </c>
      <c r="G16" s="4">
        <v>8300</v>
      </c>
      <c r="H16" s="4">
        <v>11000</v>
      </c>
      <c r="I16" s="4">
        <v>200000</v>
      </c>
    </row>
    <row r="17" spans="1:9">
      <c r="A17" s="3">
        <v>2024</v>
      </c>
      <c r="B17" s="4">
        <v>3400000</v>
      </c>
      <c r="C17" s="16" t="s">
        <v>60</v>
      </c>
      <c r="D17" s="15" t="s">
        <v>11</v>
      </c>
      <c r="E17" s="4">
        <v>2200000</v>
      </c>
      <c r="F17" s="4">
        <v>110000</v>
      </c>
      <c r="G17" s="4">
        <v>9600</v>
      </c>
      <c r="H17" s="4">
        <v>12000</v>
      </c>
      <c r="I17" s="4">
        <v>230000</v>
      </c>
    </row>
    <row r="18" spans="1:9" ht="15">
      <c r="A18" s="3">
        <v>2025</v>
      </c>
      <c r="B18" s="4">
        <v>4200000</v>
      </c>
      <c r="C18" s="16" t="s">
        <v>63</v>
      </c>
      <c r="D18" s="20" t="s">
        <v>64</v>
      </c>
      <c r="E18" s="4">
        <v>2580000</v>
      </c>
      <c r="F18" s="4">
        <v>145000</v>
      </c>
      <c r="G18" s="4">
        <v>10500</v>
      </c>
      <c r="H18" s="4">
        <v>155000</v>
      </c>
      <c r="I18" s="4">
        <v>255000</v>
      </c>
    </row>
    <row r="19" spans="1:9" ht="15">
      <c r="A19" s="3">
        <v>2026</v>
      </c>
      <c r="B19" s="4">
        <v>5000000</v>
      </c>
      <c r="C19" s="16" t="s">
        <v>65</v>
      </c>
      <c r="D19" s="20" t="s">
        <v>64</v>
      </c>
      <c r="E19" s="4">
        <v>515000</v>
      </c>
      <c r="F19" s="4">
        <v>32000</v>
      </c>
      <c r="G19" s="4">
        <v>2100</v>
      </c>
      <c r="H19" s="4">
        <v>3400</v>
      </c>
      <c r="I19" s="4">
        <v>52000</v>
      </c>
    </row>
    <row r="20" spans="1:9" ht="15">
      <c r="D20" s="21"/>
      <c r="E20" t="s">
        <v>21</v>
      </c>
      <c r="F20" t="s">
        <v>21</v>
      </c>
      <c r="G20" t="s">
        <v>21</v>
      </c>
      <c r="H20" t="s">
        <v>21</v>
      </c>
      <c r="I20" t="s">
        <v>21</v>
      </c>
    </row>
  </sheetData>
  <mergeCells count="1">
    <mergeCell ref="D1:I1"/>
  </mergeCells>
  <hyperlinks>
    <hyperlink ref="D18" r:id="rId1" xr:uid="{61F7B7FF-158E-4B7A-9988-02D692FAE62A}"/>
    <hyperlink ref="D19" r:id="rId2" xr:uid="{77E19E4E-C901-49EC-B7FA-E123EBD640FC}"/>
  </hyperlink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31D13-4F24-4755-B0B3-4383EFF5AD35}">
  <dimension ref="A1:AB71"/>
  <sheetViews>
    <sheetView zoomScale="60" zoomScaleNormal="60" workbookViewId="0">
      <selection activeCell="H76" sqref="H76"/>
    </sheetView>
  </sheetViews>
  <sheetFormatPr defaultColWidth="11.42578125" defaultRowHeight="14.45"/>
  <cols>
    <col min="2" max="2" width="15.28515625" customWidth="1"/>
    <col min="3" max="3" width="19" customWidth="1"/>
    <col min="4" max="4" width="15.42578125" customWidth="1"/>
    <col min="5" max="5" width="13.42578125" customWidth="1"/>
    <col min="6" max="6" width="17.7109375" customWidth="1"/>
    <col min="7" max="7" width="11.7109375" bestFit="1" customWidth="1"/>
    <col min="9" max="9" width="12.5703125" bestFit="1" customWidth="1"/>
    <col min="10" max="13" width="11.7109375" bestFit="1" customWidth="1"/>
    <col min="14" max="14" width="12.85546875" bestFit="1" customWidth="1"/>
    <col min="16" max="16" width="13.7109375" bestFit="1" customWidth="1"/>
    <col min="17" max="17" width="16.42578125" customWidth="1"/>
    <col min="18" max="19" width="11.7109375" bestFit="1" customWidth="1"/>
    <col min="20" max="20" width="14" bestFit="1" customWidth="1"/>
    <col min="21" max="21" width="14.28515625" bestFit="1" customWidth="1"/>
    <col min="23" max="23" width="13.7109375" bestFit="1" customWidth="1"/>
    <col min="24" max="24" width="16.28515625" customWidth="1"/>
    <col min="25" max="26" width="11.7109375" bestFit="1" customWidth="1"/>
    <col min="27" max="27" width="12.5703125" bestFit="1" customWidth="1"/>
    <col min="28" max="28" width="13.7109375" bestFit="1" customWidth="1"/>
  </cols>
  <sheetData>
    <row r="1" spans="1:28">
      <c r="B1" s="40" t="s">
        <v>66</v>
      </c>
      <c r="C1" s="40"/>
      <c r="D1" s="40"/>
      <c r="E1" s="40"/>
      <c r="F1" s="40"/>
      <c r="I1" s="40" t="s">
        <v>67</v>
      </c>
      <c r="J1" s="40"/>
      <c r="K1" s="40"/>
      <c r="L1" s="40"/>
      <c r="M1" s="40"/>
      <c r="P1" s="38" t="s">
        <v>68</v>
      </c>
      <c r="Q1" s="38"/>
      <c r="R1" s="38"/>
      <c r="S1" s="38"/>
      <c r="T1" s="38"/>
      <c r="W1" s="38" t="s">
        <v>69</v>
      </c>
      <c r="X1" s="38"/>
      <c r="Y1" s="38"/>
      <c r="Z1" s="38"/>
      <c r="AA1" s="38"/>
    </row>
    <row r="2" spans="1:28">
      <c r="A2" s="1" t="s">
        <v>1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6" t="s">
        <v>70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9</v>
      </c>
      <c r="N2" s="6" t="s">
        <v>71</v>
      </c>
      <c r="P2" s="3" t="s">
        <v>5</v>
      </c>
      <c r="Q2" s="3" t="s">
        <v>6</v>
      </c>
      <c r="R2" s="3" t="s">
        <v>7</v>
      </c>
      <c r="S2" s="3" t="s">
        <v>8</v>
      </c>
      <c r="T2" s="3" t="s">
        <v>9</v>
      </c>
      <c r="U2" s="6" t="s">
        <v>72</v>
      </c>
      <c r="W2" s="3" t="s">
        <v>5</v>
      </c>
      <c r="X2" s="3" t="s">
        <v>6</v>
      </c>
      <c r="Y2" s="3" t="s">
        <v>7</v>
      </c>
      <c r="Z2" s="3" t="s">
        <v>8</v>
      </c>
      <c r="AA2" s="3" t="s">
        <v>9</v>
      </c>
      <c r="AB2" s="6" t="s">
        <v>73</v>
      </c>
    </row>
    <row r="3" spans="1:28">
      <c r="A3" s="1">
        <v>2010</v>
      </c>
      <c r="B3" s="7">
        <v>76</v>
      </c>
      <c r="C3" s="7">
        <v>0</v>
      </c>
      <c r="D3" s="7">
        <v>0</v>
      </c>
      <c r="E3" s="7">
        <v>0</v>
      </c>
      <c r="F3" s="7">
        <v>0</v>
      </c>
      <c r="G3" s="8">
        <f>SUM(B3:F3)</f>
        <v>76</v>
      </c>
      <c r="H3" s="9"/>
      <c r="I3" s="10">
        <v>1200</v>
      </c>
      <c r="J3" s="10">
        <v>10</v>
      </c>
      <c r="K3" s="10">
        <v>0</v>
      </c>
      <c r="L3" s="10">
        <v>0</v>
      </c>
      <c r="M3" s="10">
        <v>0</v>
      </c>
      <c r="N3" s="8">
        <f>SUM(I3:M3)</f>
        <v>1210</v>
      </c>
      <c r="O3" s="9"/>
      <c r="P3" s="11">
        <v>1100</v>
      </c>
      <c r="Q3" s="11">
        <v>120</v>
      </c>
      <c r="R3" s="11">
        <v>970</v>
      </c>
      <c r="S3" s="11">
        <v>0</v>
      </c>
      <c r="T3" s="11">
        <v>0</v>
      </c>
      <c r="U3" s="8">
        <f>SUM(P3:T3)</f>
        <v>2190</v>
      </c>
      <c r="V3" s="9"/>
      <c r="W3" s="11">
        <v>1700</v>
      </c>
      <c r="X3" s="11">
        <v>1000</v>
      </c>
      <c r="Y3" s="11">
        <v>130</v>
      </c>
      <c r="Z3" s="11">
        <v>36</v>
      </c>
      <c r="AA3" s="11">
        <v>560</v>
      </c>
      <c r="AB3" s="8">
        <f>SUM(W3:AA3)</f>
        <v>3426</v>
      </c>
    </row>
    <row r="4" spans="1:28">
      <c r="A4" s="1">
        <v>2011</v>
      </c>
      <c r="B4" s="7">
        <v>390</v>
      </c>
      <c r="C4" s="7">
        <v>24</v>
      </c>
      <c r="D4" s="7">
        <v>0</v>
      </c>
      <c r="E4" s="7">
        <v>0</v>
      </c>
      <c r="F4" s="7">
        <v>0</v>
      </c>
      <c r="G4" s="8">
        <f t="shared" ref="G4:G19" si="0">SUM(B4:F4)</f>
        <v>414</v>
      </c>
      <c r="H4" s="9"/>
      <c r="I4" s="10">
        <v>9800</v>
      </c>
      <c r="J4" s="10">
        <v>180</v>
      </c>
      <c r="K4" s="10">
        <v>0</v>
      </c>
      <c r="L4" s="10">
        <v>0</v>
      </c>
      <c r="M4" s="10">
        <v>0</v>
      </c>
      <c r="N4" s="8">
        <f t="shared" ref="N4:N19" si="1">SUM(I4:M4)</f>
        <v>9980</v>
      </c>
      <c r="O4" s="9"/>
      <c r="P4" s="11">
        <v>4800</v>
      </c>
      <c r="Q4" s="11">
        <v>150</v>
      </c>
      <c r="R4" s="11">
        <v>440</v>
      </c>
      <c r="S4" s="11">
        <v>0</v>
      </c>
      <c r="T4" s="11">
        <v>0</v>
      </c>
      <c r="U4" s="8">
        <f t="shared" ref="U4:U19" si="2">SUM(P4:T4)</f>
        <v>5390</v>
      </c>
      <c r="V4" s="9"/>
      <c r="W4" s="11">
        <v>11000</v>
      </c>
      <c r="X4" s="11">
        <v>2000</v>
      </c>
      <c r="Y4" s="11">
        <v>38</v>
      </c>
      <c r="Z4" s="11">
        <v>18</v>
      </c>
      <c r="AA4" s="11">
        <v>480</v>
      </c>
      <c r="AB4" s="8">
        <f t="shared" ref="AB4:AB19" si="3">SUM(W4:AA4)</f>
        <v>13536</v>
      </c>
    </row>
    <row r="5" spans="1:28">
      <c r="A5" s="1">
        <v>2012</v>
      </c>
      <c r="B5" s="7">
        <v>430</v>
      </c>
      <c r="C5" s="7">
        <v>200</v>
      </c>
      <c r="D5" s="7">
        <v>0</v>
      </c>
      <c r="E5" s="7">
        <v>0</v>
      </c>
      <c r="F5" s="7">
        <v>2400</v>
      </c>
      <c r="G5" s="8">
        <f t="shared" si="0"/>
        <v>3030</v>
      </c>
      <c r="H5" s="9"/>
      <c r="I5" s="10">
        <v>15000</v>
      </c>
      <c r="J5" s="10">
        <v>820</v>
      </c>
      <c r="K5" s="10">
        <v>0</v>
      </c>
      <c r="L5" s="10">
        <v>0</v>
      </c>
      <c r="M5" s="10">
        <v>460</v>
      </c>
      <c r="N5" s="8">
        <f t="shared" si="1"/>
        <v>16280</v>
      </c>
      <c r="O5" s="9"/>
      <c r="P5" s="11">
        <v>9600</v>
      </c>
      <c r="Q5" s="11">
        <v>670</v>
      </c>
      <c r="R5" s="11">
        <v>1400</v>
      </c>
      <c r="S5" s="11">
        <v>0</v>
      </c>
      <c r="T5" s="11">
        <v>1700000</v>
      </c>
      <c r="U5" s="8">
        <f t="shared" si="2"/>
        <v>1711670</v>
      </c>
      <c r="V5" s="9"/>
      <c r="W5" s="11">
        <v>19000</v>
      </c>
      <c r="X5" s="11">
        <v>6900</v>
      </c>
      <c r="Y5" s="11">
        <v>68</v>
      </c>
      <c r="Z5" s="11">
        <v>19</v>
      </c>
      <c r="AA5" s="11">
        <v>12000</v>
      </c>
      <c r="AB5" s="8">
        <f t="shared" si="3"/>
        <v>37987</v>
      </c>
    </row>
    <row r="6" spans="1:28">
      <c r="A6" s="1">
        <v>2013</v>
      </c>
      <c r="B6" s="7">
        <v>810</v>
      </c>
      <c r="C6" s="7">
        <v>72</v>
      </c>
      <c r="D6" s="7">
        <v>0</v>
      </c>
      <c r="E6" s="7">
        <v>0</v>
      </c>
      <c r="F6" s="7">
        <v>1700</v>
      </c>
      <c r="G6" s="8">
        <f t="shared" si="0"/>
        <v>2582</v>
      </c>
      <c r="H6" s="9"/>
      <c r="I6" s="10">
        <v>48000</v>
      </c>
      <c r="J6" s="10">
        <v>1100</v>
      </c>
      <c r="K6" s="10">
        <v>0</v>
      </c>
      <c r="L6" s="10">
        <v>0</v>
      </c>
      <c r="M6" s="10">
        <v>650</v>
      </c>
      <c r="N6" s="8">
        <f t="shared" si="1"/>
        <v>49750</v>
      </c>
      <c r="O6" s="9"/>
      <c r="P6" s="11">
        <v>15000</v>
      </c>
      <c r="Q6" s="11">
        <v>750</v>
      </c>
      <c r="R6" s="11">
        <v>2000</v>
      </c>
      <c r="S6" s="11">
        <v>0</v>
      </c>
      <c r="T6" s="11">
        <v>2000000</v>
      </c>
      <c r="U6" s="8">
        <f t="shared" si="2"/>
        <v>2017750</v>
      </c>
      <c r="V6" s="9"/>
      <c r="W6" s="11">
        <v>33000</v>
      </c>
      <c r="X6" s="11">
        <v>7400</v>
      </c>
      <c r="Y6" s="11">
        <v>120</v>
      </c>
      <c r="Z6" s="11">
        <v>24</v>
      </c>
      <c r="AA6" s="11">
        <v>8400</v>
      </c>
      <c r="AB6" s="8">
        <f t="shared" si="3"/>
        <v>48944</v>
      </c>
    </row>
    <row r="7" spans="1:28">
      <c r="A7" s="1">
        <v>2014</v>
      </c>
      <c r="B7" s="7">
        <v>1400</v>
      </c>
      <c r="C7" s="7">
        <v>360</v>
      </c>
      <c r="D7" s="7">
        <v>11</v>
      </c>
      <c r="E7" s="7">
        <v>0</v>
      </c>
      <c r="F7" s="7">
        <v>740</v>
      </c>
      <c r="G7" s="8">
        <f t="shared" si="0"/>
        <v>2511</v>
      </c>
      <c r="H7" s="9"/>
      <c r="I7" s="10">
        <v>63000</v>
      </c>
      <c r="J7" s="10">
        <v>1500</v>
      </c>
      <c r="K7" s="10">
        <v>21</v>
      </c>
      <c r="L7" s="10">
        <v>0</v>
      </c>
      <c r="M7" s="10">
        <v>780</v>
      </c>
      <c r="N7" s="8">
        <f t="shared" si="1"/>
        <v>65301</v>
      </c>
      <c r="O7" s="9"/>
      <c r="P7" s="11">
        <v>49000</v>
      </c>
      <c r="Q7" s="11">
        <v>480</v>
      </c>
      <c r="R7" s="11">
        <v>4000</v>
      </c>
      <c r="S7" s="11">
        <v>0</v>
      </c>
      <c r="T7" s="11">
        <v>2400000</v>
      </c>
      <c r="U7" s="8">
        <f t="shared" si="2"/>
        <v>2453480</v>
      </c>
      <c r="V7" s="9"/>
      <c r="W7" s="11">
        <v>62000</v>
      </c>
      <c r="X7" s="11">
        <v>8300</v>
      </c>
      <c r="Y7" s="11">
        <v>310</v>
      </c>
      <c r="Z7" s="11">
        <v>46</v>
      </c>
      <c r="AA7" s="11">
        <v>9400</v>
      </c>
      <c r="AB7" s="8">
        <f t="shared" si="3"/>
        <v>80056</v>
      </c>
    </row>
    <row r="8" spans="1:28">
      <c r="A8" s="1">
        <v>2015</v>
      </c>
      <c r="B8" s="7">
        <v>1300</v>
      </c>
      <c r="C8" s="7">
        <v>540</v>
      </c>
      <c r="D8" s="7">
        <v>2</v>
      </c>
      <c r="E8" s="7">
        <v>0</v>
      </c>
      <c r="F8" s="7">
        <v>640</v>
      </c>
      <c r="G8" s="8">
        <f t="shared" si="0"/>
        <v>2482</v>
      </c>
      <c r="H8" s="9"/>
      <c r="I8" s="10">
        <v>71000</v>
      </c>
      <c r="J8" s="10">
        <v>1100</v>
      </c>
      <c r="K8" s="10">
        <v>44</v>
      </c>
      <c r="L8" s="10">
        <v>0</v>
      </c>
      <c r="M8" s="10">
        <v>1100</v>
      </c>
      <c r="N8" s="8">
        <f t="shared" si="1"/>
        <v>73244</v>
      </c>
      <c r="O8" s="9"/>
      <c r="P8" s="11">
        <v>150000</v>
      </c>
      <c r="Q8" s="11">
        <v>15000</v>
      </c>
      <c r="R8" s="11">
        <v>43000</v>
      </c>
      <c r="S8" s="11">
        <v>17000</v>
      </c>
      <c r="T8" s="11">
        <v>2700000</v>
      </c>
      <c r="U8" s="8">
        <f t="shared" si="2"/>
        <v>2925000</v>
      </c>
      <c r="V8" s="9"/>
      <c r="W8" s="11">
        <v>89000</v>
      </c>
      <c r="X8" s="11">
        <v>9600</v>
      </c>
      <c r="Y8" s="11">
        <v>190</v>
      </c>
      <c r="Z8" s="11">
        <v>30</v>
      </c>
      <c r="AA8" s="11">
        <v>14000</v>
      </c>
      <c r="AB8" s="8">
        <f t="shared" si="3"/>
        <v>112820</v>
      </c>
    </row>
    <row r="9" spans="1:28">
      <c r="A9" s="1">
        <v>2016</v>
      </c>
      <c r="B9" s="7">
        <v>2000</v>
      </c>
      <c r="C9" s="7">
        <v>720</v>
      </c>
      <c r="D9" s="7">
        <v>27</v>
      </c>
      <c r="E9" s="7">
        <v>13</v>
      </c>
      <c r="F9" s="7">
        <v>1100</v>
      </c>
      <c r="G9" s="8">
        <f t="shared" si="0"/>
        <v>3860</v>
      </c>
      <c r="H9" s="9"/>
      <c r="I9" s="10">
        <v>87000</v>
      </c>
      <c r="J9" s="10">
        <v>0</v>
      </c>
      <c r="K9" s="10">
        <v>330</v>
      </c>
      <c r="L9" s="10">
        <v>0</v>
      </c>
      <c r="M9" s="10">
        <v>1700</v>
      </c>
      <c r="N9" s="8">
        <f t="shared" si="1"/>
        <v>89030</v>
      </c>
      <c r="O9" s="9"/>
      <c r="P9" s="11">
        <v>260000</v>
      </c>
      <c r="Q9" s="11">
        <v>11000</v>
      </c>
      <c r="R9" s="11">
        <v>76000</v>
      </c>
      <c r="S9" s="11">
        <v>46000</v>
      </c>
      <c r="T9" s="11">
        <v>2800000</v>
      </c>
      <c r="U9" s="8">
        <f t="shared" si="2"/>
        <v>3193000</v>
      </c>
      <c r="V9" s="9"/>
      <c r="W9" s="11">
        <v>93000</v>
      </c>
      <c r="X9" s="11">
        <v>12000</v>
      </c>
      <c r="Y9" s="11">
        <v>570</v>
      </c>
      <c r="Z9" s="11">
        <v>62</v>
      </c>
      <c r="AA9" s="11">
        <v>19000</v>
      </c>
      <c r="AB9" s="8">
        <f t="shared" si="3"/>
        <v>124632</v>
      </c>
    </row>
    <row r="10" spans="1:28">
      <c r="A10" s="1">
        <v>2017</v>
      </c>
      <c r="B10" s="7">
        <v>3900</v>
      </c>
      <c r="C10" s="7">
        <v>840</v>
      </c>
      <c r="D10" s="7">
        <v>8</v>
      </c>
      <c r="E10" s="7">
        <v>2</v>
      </c>
      <c r="F10" s="7">
        <v>2400</v>
      </c>
      <c r="G10" s="8">
        <f t="shared" si="0"/>
        <v>7150</v>
      </c>
      <c r="H10" s="9"/>
      <c r="I10" s="10">
        <v>100000</v>
      </c>
      <c r="J10" s="10">
        <v>0</v>
      </c>
      <c r="K10" s="10">
        <v>150</v>
      </c>
      <c r="L10" s="10">
        <v>297</v>
      </c>
      <c r="M10" s="10">
        <v>2300</v>
      </c>
      <c r="N10" s="8">
        <f t="shared" si="1"/>
        <v>102747</v>
      </c>
      <c r="O10" s="9"/>
      <c r="P10" s="11">
        <v>470000</v>
      </c>
      <c r="Q10" s="11">
        <v>68000</v>
      </c>
      <c r="R10" s="11">
        <v>88000</v>
      </c>
      <c r="S10" s="11">
        <v>71000</v>
      </c>
      <c r="T10" s="11">
        <v>3200000</v>
      </c>
      <c r="U10" s="8">
        <f t="shared" si="2"/>
        <v>3897000</v>
      </c>
      <c r="V10" s="9"/>
      <c r="W10" s="11">
        <v>140000</v>
      </c>
      <c r="X10" s="11">
        <v>15000</v>
      </c>
      <c r="Y10" s="11">
        <v>570</v>
      </c>
      <c r="Z10" s="11">
        <v>47</v>
      </c>
      <c r="AA10" s="11">
        <v>31000</v>
      </c>
      <c r="AB10" s="8">
        <f t="shared" si="3"/>
        <v>186617</v>
      </c>
    </row>
    <row r="11" spans="1:28">
      <c r="A11" s="1">
        <v>2018</v>
      </c>
      <c r="B11" s="7">
        <v>6000</v>
      </c>
      <c r="C11" s="7">
        <v>1800</v>
      </c>
      <c r="D11" s="7">
        <v>30</v>
      </c>
      <c r="E11" s="7">
        <v>0</v>
      </c>
      <c r="F11" s="7">
        <v>7200</v>
      </c>
      <c r="G11" s="8">
        <f t="shared" si="0"/>
        <v>15030</v>
      </c>
      <c r="H11" s="9"/>
      <c r="I11" s="10">
        <v>240000</v>
      </c>
      <c r="J11" s="10">
        <v>0</v>
      </c>
      <c r="K11" s="10">
        <v>470</v>
      </c>
      <c r="L11" s="10">
        <v>132</v>
      </c>
      <c r="M11" s="10">
        <v>2800</v>
      </c>
      <c r="N11" s="8">
        <f t="shared" si="1"/>
        <v>243402</v>
      </c>
      <c r="O11" s="9"/>
      <c r="P11" s="11">
        <v>820000</v>
      </c>
      <c r="Q11" s="11">
        <v>54000</v>
      </c>
      <c r="R11" s="11">
        <v>83000</v>
      </c>
      <c r="S11" s="11">
        <v>36000</v>
      </c>
      <c r="T11" s="11">
        <v>4500000</v>
      </c>
      <c r="U11" s="8">
        <f t="shared" si="2"/>
        <v>5493000</v>
      </c>
      <c r="V11" s="9"/>
      <c r="W11" s="11">
        <v>200000</v>
      </c>
      <c r="X11" s="11">
        <v>23000</v>
      </c>
      <c r="Y11" s="11">
        <v>800</v>
      </c>
      <c r="Z11" s="11">
        <v>390</v>
      </c>
      <c r="AA11" s="11">
        <v>47000</v>
      </c>
      <c r="AB11" s="8">
        <f t="shared" si="3"/>
        <v>271190</v>
      </c>
    </row>
    <row r="12" spans="1:28">
      <c r="A12" s="1">
        <v>2019</v>
      </c>
      <c r="B12" s="7">
        <v>10000</v>
      </c>
      <c r="C12" s="7">
        <v>1900</v>
      </c>
      <c r="D12" s="7">
        <v>100</v>
      </c>
      <c r="E12" s="7">
        <v>7</v>
      </c>
      <c r="F12" s="7">
        <v>11000</v>
      </c>
      <c r="G12" s="8">
        <f t="shared" si="0"/>
        <v>23007</v>
      </c>
      <c r="H12" s="9"/>
      <c r="I12" s="10">
        <v>240000</v>
      </c>
      <c r="J12" s="10">
        <v>0</v>
      </c>
      <c r="K12" s="10">
        <v>560</v>
      </c>
      <c r="L12" s="10">
        <v>189</v>
      </c>
      <c r="M12" s="10">
        <v>6300</v>
      </c>
      <c r="N12" s="8">
        <f t="shared" si="1"/>
        <v>247049</v>
      </c>
      <c r="O12" s="9"/>
      <c r="P12" s="11">
        <v>83000</v>
      </c>
      <c r="Q12" s="11">
        <v>27000</v>
      </c>
      <c r="R12" s="11">
        <v>68000</v>
      </c>
      <c r="S12" s="11">
        <v>24000</v>
      </c>
      <c r="T12" s="11">
        <v>5800000</v>
      </c>
      <c r="U12" s="8">
        <f t="shared" si="2"/>
        <v>6002000</v>
      </c>
      <c r="V12" s="9"/>
      <c r="W12" s="11">
        <v>360000</v>
      </c>
      <c r="X12" s="11">
        <v>27000</v>
      </c>
      <c r="Y12" s="11">
        <v>2000</v>
      </c>
      <c r="Z12" s="11">
        <v>850</v>
      </c>
      <c r="AA12" s="11">
        <v>76000</v>
      </c>
      <c r="AB12" s="8">
        <f t="shared" si="3"/>
        <v>465850</v>
      </c>
    </row>
    <row r="13" spans="1:28">
      <c r="A13" s="1">
        <v>2020</v>
      </c>
      <c r="B13" s="7">
        <v>18000</v>
      </c>
      <c r="C13" s="7">
        <v>2000</v>
      </c>
      <c r="D13" s="7">
        <v>51</v>
      </c>
      <c r="E13" s="7">
        <v>8</v>
      </c>
      <c r="F13" s="7">
        <v>14000</v>
      </c>
      <c r="G13" s="8">
        <f t="shared" si="0"/>
        <v>34059</v>
      </c>
      <c r="H13" s="9"/>
      <c r="I13" s="10">
        <v>230000</v>
      </c>
      <c r="J13" s="10">
        <v>0</v>
      </c>
      <c r="K13" s="10">
        <v>660</v>
      </c>
      <c r="L13" s="10">
        <v>383</v>
      </c>
      <c r="M13" s="10">
        <v>8000</v>
      </c>
      <c r="N13" s="8">
        <f t="shared" si="1"/>
        <v>239043</v>
      </c>
      <c r="O13" s="9"/>
      <c r="P13" s="11">
        <v>920000</v>
      </c>
      <c r="Q13" s="11">
        <v>26000</v>
      </c>
      <c r="R13" s="11">
        <v>55000</v>
      </c>
      <c r="S13" s="11">
        <v>17000</v>
      </c>
      <c r="T13" s="11">
        <v>8200000</v>
      </c>
      <c r="U13" s="8">
        <f t="shared" si="2"/>
        <v>9218000</v>
      </c>
      <c r="V13" s="9"/>
      <c r="W13" s="11">
        <v>750000</v>
      </c>
      <c r="X13" s="11">
        <v>35000</v>
      </c>
      <c r="Y13" s="11">
        <v>2400</v>
      </c>
      <c r="Z13" s="11">
        <v>1100</v>
      </c>
      <c r="AA13" s="11">
        <v>96000</v>
      </c>
      <c r="AB13" s="8">
        <f t="shared" si="3"/>
        <v>884500</v>
      </c>
    </row>
    <row r="14" spans="1:28">
      <c r="A14" s="1">
        <v>2021</v>
      </c>
      <c r="B14" s="7">
        <v>24000</v>
      </c>
      <c r="C14" s="7">
        <v>2300</v>
      </c>
      <c r="D14" s="7">
        <v>150</v>
      </c>
      <c r="E14" s="7">
        <v>23</v>
      </c>
      <c r="F14" s="7">
        <v>11000</v>
      </c>
      <c r="G14" s="8">
        <f t="shared" si="0"/>
        <v>37473</v>
      </c>
      <c r="H14" s="9"/>
      <c r="I14" s="10">
        <v>470000</v>
      </c>
      <c r="J14" s="10">
        <v>15</v>
      </c>
      <c r="K14" s="10">
        <v>500</v>
      </c>
      <c r="L14" s="10">
        <v>803</v>
      </c>
      <c r="M14" s="10">
        <v>8900</v>
      </c>
      <c r="N14" s="8">
        <f t="shared" si="1"/>
        <v>480218</v>
      </c>
      <c r="O14" s="9"/>
      <c r="P14" s="11">
        <v>2700000</v>
      </c>
      <c r="Q14" s="11">
        <v>71000</v>
      </c>
      <c r="R14" s="11">
        <v>42000</v>
      </c>
      <c r="S14" s="11">
        <v>12000</v>
      </c>
      <c r="T14" s="11">
        <v>11000000</v>
      </c>
      <c r="U14" s="8">
        <f t="shared" si="2"/>
        <v>13825000</v>
      </c>
      <c r="V14" s="9"/>
      <c r="W14" s="11">
        <v>1200000</v>
      </c>
      <c r="X14" s="11">
        <v>57000</v>
      </c>
      <c r="Y14" s="11">
        <v>3900</v>
      </c>
      <c r="Z14" s="11">
        <v>1800</v>
      </c>
      <c r="AA14" s="11">
        <v>120000</v>
      </c>
      <c r="AB14" s="8">
        <f t="shared" si="3"/>
        <v>1382700</v>
      </c>
    </row>
    <row r="15" spans="1:28">
      <c r="A15" s="1">
        <v>2022</v>
      </c>
      <c r="B15" s="7">
        <v>33000</v>
      </c>
      <c r="C15" s="7">
        <v>3500</v>
      </c>
      <c r="D15" s="7">
        <v>250</v>
      </c>
      <c r="E15" s="7">
        <v>210</v>
      </c>
      <c r="F15" s="7">
        <v>16000</v>
      </c>
      <c r="G15" s="8">
        <f t="shared" si="0"/>
        <v>52960</v>
      </c>
      <c r="H15" s="9"/>
      <c r="I15" s="10">
        <v>800000</v>
      </c>
      <c r="J15" s="10">
        <v>9000</v>
      </c>
      <c r="K15" s="10">
        <v>1000</v>
      </c>
      <c r="L15" s="10">
        <v>9842</v>
      </c>
      <c r="M15" s="10">
        <v>9600</v>
      </c>
      <c r="N15" s="8">
        <f t="shared" si="1"/>
        <v>829442</v>
      </c>
      <c r="O15" s="9"/>
      <c r="P15" s="11">
        <v>4400000</v>
      </c>
      <c r="Q15" s="11">
        <v>170000</v>
      </c>
      <c r="R15" s="11">
        <v>44000</v>
      </c>
      <c r="S15" s="11">
        <v>27000</v>
      </c>
      <c r="T15" s="11">
        <v>8000000</v>
      </c>
      <c r="U15" s="8">
        <f t="shared" si="2"/>
        <v>12641000</v>
      </c>
      <c r="V15" s="9"/>
      <c r="W15" s="11">
        <v>1600000</v>
      </c>
      <c r="X15" s="11">
        <v>86000</v>
      </c>
      <c r="Y15" s="11">
        <v>4900</v>
      </c>
      <c r="Z15" s="11">
        <v>3600</v>
      </c>
      <c r="AA15" s="11">
        <v>180000</v>
      </c>
      <c r="AB15" s="8">
        <f t="shared" si="3"/>
        <v>1874500</v>
      </c>
    </row>
    <row r="16" spans="1:28">
      <c r="A16" s="1">
        <v>2023</v>
      </c>
      <c r="B16" s="7">
        <v>57000</v>
      </c>
      <c r="C16" s="7">
        <v>5300</v>
      </c>
      <c r="D16" s="7">
        <v>520</v>
      </c>
      <c r="E16" s="7">
        <v>440</v>
      </c>
      <c r="F16" s="7">
        <v>14000</v>
      </c>
      <c r="G16" s="8">
        <f t="shared" si="0"/>
        <v>77260</v>
      </c>
      <c r="H16" s="9"/>
      <c r="I16" s="10">
        <v>1100000</v>
      </c>
      <c r="J16" s="10">
        <v>17000</v>
      </c>
      <c r="K16" s="10">
        <v>3600</v>
      </c>
      <c r="L16" s="10">
        <v>25378</v>
      </c>
      <c r="M16" s="10">
        <v>7800</v>
      </c>
      <c r="N16" s="8">
        <f t="shared" si="1"/>
        <v>1153778</v>
      </c>
      <c r="O16" s="9"/>
      <c r="P16" s="11">
        <v>5400000</v>
      </c>
      <c r="Q16" s="11">
        <v>240000</v>
      </c>
      <c r="R16" s="11">
        <v>31000</v>
      </c>
      <c r="S16" s="11">
        <v>36000</v>
      </c>
      <c r="T16" s="11">
        <v>7800000</v>
      </c>
      <c r="U16" s="8">
        <f t="shared" si="2"/>
        <v>13507000</v>
      </c>
      <c r="V16" s="9"/>
      <c r="W16" s="11">
        <v>2200000</v>
      </c>
      <c r="X16" s="11">
        <v>130000</v>
      </c>
      <c r="Y16" s="11">
        <v>8300</v>
      </c>
      <c r="Z16" s="11">
        <v>11000</v>
      </c>
      <c r="AA16" s="11">
        <v>200000</v>
      </c>
      <c r="AB16" s="8">
        <f t="shared" si="3"/>
        <v>2549300</v>
      </c>
    </row>
    <row r="17" spans="1:28">
      <c r="A17" s="1">
        <v>2024</v>
      </c>
      <c r="B17" s="7">
        <v>62000</v>
      </c>
      <c r="C17" s="7">
        <v>4200</v>
      </c>
      <c r="D17" s="7">
        <v>620</v>
      </c>
      <c r="E17" s="7">
        <v>380</v>
      </c>
      <c r="F17" s="7">
        <v>11000</v>
      </c>
      <c r="G17" s="8">
        <f t="shared" si="0"/>
        <v>78200</v>
      </c>
      <c r="H17" s="9"/>
      <c r="I17" s="10">
        <v>1200000</v>
      </c>
      <c r="J17" s="10">
        <v>26000</v>
      </c>
      <c r="K17" s="10">
        <v>2200</v>
      </c>
      <c r="L17" s="10">
        <v>22692</v>
      </c>
      <c r="M17" s="10">
        <v>7100</v>
      </c>
      <c r="N17" s="8">
        <f t="shared" si="1"/>
        <v>1257992</v>
      </c>
      <c r="O17" s="9"/>
      <c r="P17" s="11">
        <v>6400000</v>
      </c>
      <c r="Q17" s="11">
        <v>450000</v>
      </c>
      <c r="R17" s="11">
        <v>48000</v>
      </c>
      <c r="S17" s="11">
        <v>76000</v>
      </c>
      <c r="T17" s="11">
        <v>7200000</v>
      </c>
      <c r="U17" s="8">
        <f t="shared" si="2"/>
        <v>14174000</v>
      </c>
      <c r="V17" s="9"/>
      <c r="W17" s="11">
        <v>2200000</v>
      </c>
      <c r="X17" s="11">
        <v>110000</v>
      </c>
      <c r="Y17" s="11">
        <v>9600</v>
      </c>
      <c r="Z17" s="11">
        <v>12000</v>
      </c>
      <c r="AA17" s="11">
        <v>230000</v>
      </c>
      <c r="AB17" s="8">
        <f t="shared" si="3"/>
        <v>2561600</v>
      </c>
    </row>
    <row r="18" spans="1:28">
      <c r="A18" s="1">
        <v>2025</v>
      </c>
      <c r="B18" s="7">
        <v>114000</v>
      </c>
      <c r="C18" s="7">
        <v>9000</v>
      </c>
      <c r="D18" s="7">
        <v>477</v>
      </c>
      <c r="E18" s="7">
        <v>130</v>
      </c>
      <c r="F18" s="7">
        <v>20000</v>
      </c>
      <c r="G18" s="8">
        <f t="shared" si="0"/>
        <v>143607</v>
      </c>
      <c r="H18" s="9"/>
      <c r="I18" s="10">
        <v>1275714</v>
      </c>
      <c r="J18" s="10">
        <v>18500</v>
      </c>
      <c r="K18" s="10">
        <v>3800</v>
      </c>
      <c r="L18" s="10">
        <v>28500</v>
      </c>
      <c r="M18" s="10">
        <v>9200</v>
      </c>
      <c r="N18" s="8">
        <f t="shared" si="1"/>
        <v>1335714</v>
      </c>
      <c r="O18" s="9"/>
      <c r="P18" s="11">
        <v>8300000</v>
      </c>
      <c r="Q18" s="11">
        <v>650000</v>
      </c>
      <c r="R18" s="11">
        <v>85000</v>
      </c>
      <c r="S18" s="11">
        <v>230000</v>
      </c>
      <c r="T18" s="11">
        <v>12600000</v>
      </c>
      <c r="U18" s="8">
        <f t="shared" si="2"/>
        <v>21865000</v>
      </c>
      <c r="V18" s="9"/>
      <c r="W18" s="11">
        <v>2580000</v>
      </c>
      <c r="X18" s="11">
        <v>145000</v>
      </c>
      <c r="Y18" s="11">
        <v>10500</v>
      </c>
      <c r="Z18" s="11">
        <v>155000</v>
      </c>
      <c r="AA18" s="11">
        <v>255000</v>
      </c>
      <c r="AB18" s="8">
        <f t="shared" si="3"/>
        <v>3145500</v>
      </c>
    </row>
    <row r="19" spans="1:28">
      <c r="A19" s="1">
        <v>2026</v>
      </c>
      <c r="B19" s="7">
        <v>25500</v>
      </c>
      <c r="C19" s="7">
        <v>2300</v>
      </c>
      <c r="D19" s="7">
        <v>170</v>
      </c>
      <c r="E19" s="7">
        <v>220</v>
      </c>
      <c r="F19" s="7">
        <v>2500</v>
      </c>
      <c r="G19" s="8">
        <f t="shared" si="0"/>
        <v>30690</v>
      </c>
      <c r="H19" s="9"/>
      <c r="I19" s="10">
        <v>212600</v>
      </c>
      <c r="J19" s="10">
        <v>5100</v>
      </c>
      <c r="K19" s="10">
        <v>1150</v>
      </c>
      <c r="L19" s="10">
        <v>7800</v>
      </c>
      <c r="M19" s="10">
        <v>2650</v>
      </c>
      <c r="N19" s="8">
        <f t="shared" si="1"/>
        <v>229300</v>
      </c>
      <c r="O19" s="9"/>
      <c r="P19" s="11">
        <v>1300000</v>
      </c>
      <c r="Q19" s="11">
        <v>135000</v>
      </c>
      <c r="R19" s="11">
        <v>18000</v>
      </c>
      <c r="S19" s="11">
        <v>45000</v>
      </c>
      <c r="T19" s="11">
        <v>2800000</v>
      </c>
      <c r="U19" s="8">
        <f t="shared" si="2"/>
        <v>4298000</v>
      </c>
      <c r="V19" s="9"/>
      <c r="W19" s="11">
        <v>515000</v>
      </c>
      <c r="X19" s="11">
        <v>32000</v>
      </c>
      <c r="Y19" s="11">
        <v>2100</v>
      </c>
      <c r="Z19" s="11">
        <v>3400</v>
      </c>
      <c r="AA19" s="11">
        <v>52000</v>
      </c>
      <c r="AB19" s="8">
        <f t="shared" si="3"/>
        <v>604500</v>
      </c>
    </row>
    <row r="20" spans="1:28">
      <c r="B20" s="42"/>
      <c r="C20" s="42"/>
      <c r="D20" s="42"/>
      <c r="E20" s="42"/>
      <c r="F20" s="42"/>
      <c r="G20" s="9"/>
      <c r="H20" s="9"/>
      <c r="I20" s="41"/>
      <c r="J20" s="41"/>
      <c r="K20" s="41"/>
      <c r="L20" s="41"/>
      <c r="M20" s="41"/>
      <c r="N20" s="41"/>
      <c r="O20" s="9"/>
      <c r="P20" s="41"/>
      <c r="Q20" s="41"/>
      <c r="R20" s="41"/>
      <c r="S20" s="41"/>
      <c r="T20" s="41"/>
      <c r="U20" s="41"/>
      <c r="V20" s="9"/>
      <c r="W20" s="42"/>
      <c r="X20" s="42"/>
      <c r="Y20" s="42"/>
      <c r="Z20" s="42"/>
      <c r="AA20" s="42"/>
      <c r="AB20" s="9"/>
    </row>
    <row r="21" spans="1:28">
      <c r="A21" s="6" t="s">
        <v>74</v>
      </c>
      <c r="B21" s="8">
        <f>SUM(B3:B19)</f>
        <v>359806</v>
      </c>
      <c r="C21" s="8">
        <f t="shared" ref="C21:F21" si="4">SUM(C3:C19)</f>
        <v>35056</v>
      </c>
      <c r="D21" s="8">
        <f t="shared" si="4"/>
        <v>2416</v>
      </c>
      <c r="E21" s="8">
        <f t="shared" si="4"/>
        <v>1433</v>
      </c>
      <c r="F21" s="8">
        <f t="shared" si="4"/>
        <v>115680</v>
      </c>
      <c r="G21" s="8">
        <f>SUM(B21:F21)</f>
        <v>514391</v>
      </c>
      <c r="H21" s="8"/>
      <c r="I21" s="8">
        <f>SUM(I3:I19)</f>
        <v>6163314</v>
      </c>
      <c r="J21" s="8">
        <f t="shared" ref="J21:M21" si="5">SUM(J3:J19)</f>
        <v>80325</v>
      </c>
      <c r="K21" s="8">
        <f t="shared" si="5"/>
        <v>14485</v>
      </c>
      <c r="L21" s="8">
        <f t="shared" si="5"/>
        <v>96016</v>
      </c>
      <c r="M21" s="8">
        <f t="shared" si="5"/>
        <v>69340</v>
      </c>
      <c r="N21" s="8">
        <f>SUM(I21:M21)</f>
        <v>6423480</v>
      </c>
      <c r="O21" s="8"/>
      <c r="P21" s="8">
        <f>SUM(P3:P19)</f>
        <v>31282500</v>
      </c>
      <c r="Q21" s="8">
        <f t="shared" ref="Q21:T21" si="6">SUM(Q3:Q19)</f>
        <v>1919170</v>
      </c>
      <c r="R21" s="8">
        <f t="shared" si="6"/>
        <v>689810</v>
      </c>
      <c r="S21" s="8">
        <f t="shared" si="6"/>
        <v>637000</v>
      </c>
      <c r="T21" s="8">
        <f t="shared" si="6"/>
        <v>82700000</v>
      </c>
      <c r="U21" s="8">
        <f>SUM(P21:T21)</f>
        <v>117228480</v>
      </c>
      <c r="V21" s="8"/>
      <c r="W21" s="8">
        <f>SUM(W3:W19)</f>
        <v>12053700</v>
      </c>
      <c r="X21" s="8">
        <f t="shared" ref="X21:AA21" si="7">SUM(X3:X19)</f>
        <v>707200</v>
      </c>
      <c r="Y21" s="8">
        <f t="shared" si="7"/>
        <v>46496</v>
      </c>
      <c r="Z21" s="8">
        <f t="shared" si="7"/>
        <v>189422</v>
      </c>
      <c r="AA21" s="8">
        <f t="shared" si="7"/>
        <v>1350840</v>
      </c>
      <c r="AB21" s="8">
        <f>SUM(W21:AA21)</f>
        <v>14347658</v>
      </c>
    </row>
    <row r="27" spans="1:28">
      <c r="A27" s="5" t="s">
        <v>1</v>
      </c>
      <c r="B27" s="3" t="s">
        <v>70</v>
      </c>
      <c r="C27" s="3" t="s">
        <v>71</v>
      </c>
      <c r="D27" s="3" t="s">
        <v>72</v>
      </c>
      <c r="E27" s="3" t="s">
        <v>73</v>
      </c>
    </row>
    <row r="28" spans="1:28">
      <c r="A28" s="5">
        <v>2010</v>
      </c>
      <c r="B28" s="11">
        <v>76</v>
      </c>
      <c r="C28" s="11">
        <v>1210</v>
      </c>
      <c r="D28" s="11">
        <v>2190</v>
      </c>
      <c r="E28" s="11">
        <v>3426</v>
      </c>
    </row>
    <row r="29" spans="1:28">
      <c r="A29" s="5">
        <v>2011</v>
      </c>
      <c r="B29" s="11">
        <v>414</v>
      </c>
      <c r="C29" s="11">
        <v>9980</v>
      </c>
      <c r="D29" s="11">
        <v>5390</v>
      </c>
      <c r="E29" s="11">
        <v>13536</v>
      </c>
    </row>
    <row r="30" spans="1:28">
      <c r="A30" s="5">
        <v>2012</v>
      </c>
      <c r="B30" s="11">
        <v>3030</v>
      </c>
      <c r="C30" s="11">
        <v>16280</v>
      </c>
      <c r="D30" s="11">
        <v>1711670</v>
      </c>
      <c r="E30" s="11">
        <v>37987</v>
      </c>
    </row>
    <row r="31" spans="1:28">
      <c r="A31" s="5">
        <v>2013</v>
      </c>
      <c r="B31" s="11">
        <v>2582</v>
      </c>
      <c r="C31" s="11">
        <v>49750</v>
      </c>
      <c r="D31" s="11">
        <v>2017750</v>
      </c>
      <c r="E31" s="11">
        <v>48944</v>
      </c>
    </row>
    <row r="32" spans="1:28">
      <c r="A32" s="5">
        <v>2014</v>
      </c>
      <c r="B32" s="11">
        <v>2511</v>
      </c>
      <c r="C32" s="11">
        <v>65301</v>
      </c>
      <c r="D32" s="11">
        <v>2453480</v>
      </c>
      <c r="E32" s="11">
        <v>80056</v>
      </c>
    </row>
    <row r="33" spans="1:5">
      <c r="A33" s="5">
        <v>2015</v>
      </c>
      <c r="B33" s="11">
        <v>2482</v>
      </c>
      <c r="C33" s="11">
        <v>73244</v>
      </c>
      <c r="D33" s="11">
        <v>2925000</v>
      </c>
      <c r="E33" s="11">
        <v>112820</v>
      </c>
    </row>
    <row r="34" spans="1:5">
      <c r="A34" s="5">
        <v>2016</v>
      </c>
      <c r="B34" s="11">
        <v>3860</v>
      </c>
      <c r="C34" s="11">
        <v>89030</v>
      </c>
      <c r="D34" s="11">
        <v>3193000</v>
      </c>
      <c r="E34" s="11">
        <v>124632</v>
      </c>
    </row>
    <row r="35" spans="1:5">
      <c r="A35" s="5">
        <v>2017</v>
      </c>
      <c r="B35" s="11">
        <v>7150</v>
      </c>
      <c r="C35" s="11">
        <v>102747</v>
      </c>
      <c r="D35" s="11">
        <v>3897000</v>
      </c>
      <c r="E35" s="11">
        <v>186617</v>
      </c>
    </row>
    <row r="36" spans="1:5">
      <c r="A36" s="5">
        <v>2018</v>
      </c>
      <c r="B36" s="11">
        <v>15030</v>
      </c>
      <c r="C36" s="11">
        <v>243402</v>
      </c>
      <c r="D36" s="11">
        <v>5493000</v>
      </c>
      <c r="E36" s="11">
        <v>271190</v>
      </c>
    </row>
    <row r="37" spans="1:5">
      <c r="A37" s="5">
        <v>2019</v>
      </c>
      <c r="B37" s="11">
        <v>23007</v>
      </c>
      <c r="C37" s="11">
        <v>247049</v>
      </c>
      <c r="D37" s="11">
        <v>6002000</v>
      </c>
      <c r="E37" s="11">
        <v>465850</v>
      </c>
    </row>
    <row r="38" spans="1:5">
      <c r="A38" s="5">
        <v>2020</v>
      </c>
      <c r="B38" s="11">
        <v>34059</v>
      </c>
      <c r="C38" s="11">
        <v>239043</v>
      </c>
      <c r="D38" s="11">
        <v>9218000</v>
      </c>
      <c r="E38" s="11">
        <v>884500</v>
      </c>
    </row>
    <row r="39" spans="1:5">
      <c r="A39" s="5">
        <v>2021</v>
      </c>
      <c r="B39" s="11">
        <v>37473</v>
      </c>
      <c r="C39" s="11">
        <v>480218</v>
      </c>
      <c r="D39" s="11">
        <v>13825000</v>
      </c>
      <c r="E39" s="11">
        <v>1382700</v>
      </c>
    </row>
    <row r="40" spans="1:5">
      <c r="A40" s="5">
        <v>2022</v>
      </c>
      <c r="B40" s="11">
        <v>52960</v>
      </c>
      <c r="C40" s="11">
        <v>829442</v>
      </c>
      <c r="D40" s="11">
        <v>12641000</v>
      </c>
      <c r="E40" s="11">
        <v>1874500</v>
      </c>
    </row>
    <row r="41" spans="1:5">
      <c r="A41" s="5">
        <v>2023</v>
      </c>
      <c r="B41" s="11">
        <v>77260</v>
      </c>
      <c r="C41" s="11">
        <v>1153778</v>
      </c>
      <c r="D41" s="11">
        <v>13507000</v>
      </c>
      <c r="E41" s="11">
        <v>2549300</v>
      </c>
    </row>
    <row r="42" spans="1:5">
      <c r="A42" s="5">
        <v>2024</v>
      </c>
      <c r="B42" s="11">
        <v>78200</v>
      </c>
      <c r="C42" s="11">
        <v>1257992</v>
      </c>
      <c r="D42" s="11">
        <v>14174000</v>
      </c>
      <c r="E42" s="11">
        <v>2561600</v>
      </c>
    </row>
    <row r="43" spans="1:5">
      <c r="A43" s="5">
        <v>2025</v>
      </c>
      <c r="B43" s="11">
        <v>143607</v>
      </c>
      <c r="C43" s="11">
        <v>1335714</v>
      </c>
      <c r="D43" s="11">
        <v>21865000</v>
      </c>
      <c r="E43" s="11">
        <v>3145500</v>
      </c>
    </row>
    <row r="44" spans="1:5">
      <c r="A44" s="5">
        <v>2026</v>
      </c>
      <c r="B44" s="11">
        <v>30690</v>
      </c>
      <c r="C44" s="11">
        <v>229300</v>
      </c>
      <c r="D44" s="11">
        <v>4298000</v>
      </c>
      <c r="E44" s="11">
        <v>604500</v>
      </c>
    </row>
    <row r="50" spans="1:6">
      <c r="B50" s="13" t="s">
        <v>5</v>
      </c>
      <c r="C50" s="13" t="s">
        <v>6</v>
      </c>
      <c r="D50" s="13" t="s">
        <v>7</v>
      </c>
      <c r="E50" s="13" t="s">
        <v>8</v>
      </c>
      <c r="F50" s="13" t="s">
        <v>9</v>
      </c>
    </row>
    <row r="51" spans="1:6">
      <c r="A51" s="12" t="s">
        <v>70</v>
      </c>
      <c r="B51" s="14">
        <v>359806</v>
      </c>
      <c r="C51" s="14">
        <v>35056</v>
      </c>
      <c r="D51" s="14">
        <v>2416</v>
      </c>
      <c r="E51" s="14">
        <v>1433</v>
      </c>
      <c r="F51" s="14">
        <v>115680</v>
      </c>
    </row>
    <row r="52" spans="1:6">
      <c r="A52" s="12" t="s">
        <v>71</v>
      </c>
      <c r="B52" s="14">
        <v>6163314</v>
      </c>
      <c r="C52" s="14">
        <v>80325</v>
      </c>
      <c r="D52" s="14">
        <v>14485</v>
      </c>
      <c r="E52" s="14">
        <v>96016</v>
      </c>
      <c r="F52" s="14">
        <v>69340</v>
      </c>
    </row>
    <row r="53" spans="1:6">
      <c r="A53" s="12" t="s">
        <v>72</v>
      </c>
      <c r="B53" s="14">
        <v>31282500</v>
      </c>
      <c r="C53" s="14">
        <v>1919170</v>
      </c>
      <c r="D53" s="14">
        <v>689810</v>
      </c>
      <c r="E53" s="14">
        <v>637000</v>
      </c>
      <c r="F53" s="14">
        <v>82700000</v>
      </c>
    </row>
    <row r="54" spans="1:6">
      <c r="A54" s="12" t="s">
        <v>73</v>
      </c>
      <c r="B54" s="14">
        <v>12053700</v>
      </c>
      <c r="C54" s="14">
        <v>707200</v>
      </c>
      <c r="D54" s="14">
        <v>46496</v>
      </c>
      <c r="E54" s="14">
        <v>189422</v>
      </c>
      <c r="F54" s="14">
        <v>1350840</v>
      </c>
    </row>
    <row r="65" spans="1:4" ht="15"/>
    <row r="66" spans="1:4" ht="15">
      <c r="B66" s="24" t="s">
        <v>75</v>
      </c>
      <c r="C66" s="24" t="s">
        <v>76</v>
      </c>
      <c r="D66" s="24" t="s">
        <v>77</v>
      </c>
    </row>
    <row r="67" spans="1:4" ht="15">
      <c r="A67" s="23" t="s">
        <v>72</v>
      </c>
      <c r="B67" s="28">
        <v>117228480</v>
      </c>
      <c r="C67" s="25">
        <v>61540000</v>
      </c>
      <c r="D67" s="26">
        <f>((B67-C67)/C67)</f>
        <v>0.90491517712057201</v>
      </c>
    </row>
    <row r="68" spans="1:4" ht="15">
      <c r="A68" s="23" t="s">
        <v>73</v>
      </c>
      <c r="B68" s="28">
        <v>14347658</v>
      </c>
      <c r="C68" s="25">
        <v>29380000</v>
      </c>
      <c r="D68" s="26">
        <f t="shared" ref="D68:D70" si="8">((B68-C68)/C68)</f>
        <v>-0.51165221238938052</v>
      </c>
    </row>
    <row r="69" spans="1:4" ht="15">
      <c r="A69" s="23" t="s">
        <v>70</v>
      </c>
      <c r="B69" s="28">
        <v>514391</v>
      </c>
      <c r="C69" s="25">
        <v>1267998</v>
      </c>
      <c r="D69" s="26">
        <f t="shared" si="8"/>
        <v>-0.59432822449246769</v>
      </c>
    </row>
    <row r="70" spans="1:4" ht="15">
      <c r="A70" s="23" t="s">
        <v>71</v>
      </c>
      <c r="B70" s="28">
        <v>6423480</v>
      </c>
      <c r="C70" s="25">
        <v>12602200</v>
      </c>
      <c r="D70" s="26">
        <f t="shared" si="8"/>
        <v>-0.49028899715922619</v>
      </c>
    </row>
    <row r="71" spans="1:4" ht="15">
      <c r="B71" s="22"/>
      <c r="C71" s="22"/>
      <c r="D71" s="22"/>
    </row>
  </sheetData>
  <mergeCells count="8">
    <mergeCell ref="B1:F1"/>
    <mergeCell ref="I1:M1"/>
    <mergeCell ref="P1:T1"/>
    <mergeCell ref="W1:AA1"/>
    <mergeCell ref="I20:N20"/>
    <mergeCell ref="P20:U20"/>
    <mergeCell ref="W20:AA20"/>
    <mergeCell ref="B20:F2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51819-C8A3-412E-A290-8B45260F461F}">
  <dimension ref="A1:E17"/>
  <sheetViews>
    <sheetView workbookViewId="0">
      <selection activeCell="E21" sqref="E21"/>
    </sheetView>
  </sheetViews>
  <sheetFormatPr defaultRowHeight="15"/>
  <cols>
    <col min="2" max="2" width="30.5703125" customWidth="1"/>
    <col min="3" max="3" width="30.28515625" customWidth="1"/>
    <col min="4" max="4" width="12" customWidth="1"/>
    <col min="5" max="5" width="17.140625" customWidth="1"/>
  </cols>
  <sheetData>
    <row r="1" spans="1:5">
      <c r="A1" s="5" t="s">
        <v>1</v>
      </c>
      <c r="B1" s="5" t="s">
        <v>78</v>
      </c>
      <c r="C1" s="29" t="s">
        <v>79</v>
      </c>
      <c r="D1" s="27" t="s">
        <v>70</v>
      </c>
      <c r="E1" s="23" t="s">
        <v>73</v>
      </c>
    </row>
    <row r="2" spans="1:5">
      <c r="A2" s="5">
        <v>2010</v>
      </c>
      <c r="B2" s="17">
        <v>2000</v>
      </c>
      <c r="C2" s="30">
        <v>3000</v>
      </c>
      <c r="D2" s="27">
        <v>76</v>
      </c>
      <c r="E2" s="23">
        <v>3426</v>
      </c>
    </row>
    <row r="3" spans="1:5">
      <c r="A3" s="5">
        <v>2011</v>
      </c>
      <c r="B3" s="17">
        <v>20000</v>
      </c>
      <c r="C3" s="30">
        <v>25000</v>
      </c>
      <c r="D3" s="27">
        <v>414</v>
      </c>
      <c r="E3" s="23">
        <v>13536</v>
      </c>
    </row>
    <row r="4" spans="1:5">
      <c r="A4" s="5">
        <v>2012</v>
      </c>
      <c r="B4" s="17">
        <v>50000</v>
      </c>
      <c r="C4" s="30">
        <v>30000</v>
      </c>
      <c r="D4" s="27">
        <v>3030</v>
      </c>
      <c r="E4" s="23">
        <v>37987</v>
      </c>
    </row>
    <row r="5" spans="1:5">
      <c r="A5" s="5">
        <v>2013</v>
      </c>
      <c r="B5" s="17">
        <v>70000</v>
      </c>
      <c r="C5" s="30">
        <v>60000</v>
      </c>
      <c r="D5" s="27">
        <v>2582</v>
      </c>
      <c r="E5" s="23">
        <v>48944</v>
      </c>
    </row>
    <row r="6" spans="1:5">
      <c r="A6" s="5">
        <v>2014</v>
      </c>
      <c r="B6" s="17">
        <v>110000</v>
      </c>
      <c r="C6" s="30">
        <v>90000</v>
      </c>
      <c r="D6" s="27">
        <v>2511</v>
      </c>
      <c r="E6" s="23">
        <v>80056</v>
      </c>
    </row>
    <row r="7" spans="1:5">
      <c r="A7" s="5">
        <v>2015</v>
      </c>
      <c r="B7" s="18">
        <v>22000</v>
      </c>
      <c r="C7" s="30">
        <v>150000</v>
      </c>
      <c r="D7" s="27">
        <v>2482</v>
      </c>
      <c r="E7" s="23">
        <v>112820</v>
      </c>
    </row>
    <row r="8" spans="1:5">
      <c r="A8" s="5">
        <v>2016</v>
      </c>
      <c r="B8" s="18">
        <v>12000</v>
      </c>
      <c r="C8" s="30">
        <v>120000</v>
      </c>
      <c r="D8" s="27">
        <v>3860</v>
      </c>
      <c r="E8" s="23">
        <v>124632</v>
      </c>
    </row>
    <row r="9" spans="1:5">
      <c r="A9" s="5">
        <v>2017</v>
      </c>
      <c r="B9" s="18">
        <v>45000</v>
      </c>
      <c r="C9" s="30">
        <v>280000</v>
      </c>
      <c r="D9" s="27">
        <v>7150</v>
      </c>
      <c r="E9" s="23">
        <v>186617</v>
      </c>
    </row>
    <row r="10" spans="1:5">
      <c r="A10" s="5">
        <v>2018</v>
      </c>
      <c r="B10" s="18">
        <v>20000</v>
      </c>
      <c r="C10" s="30">
        <v>430000</v>
      </c>
      <c r="D10" s="27">
        <v>15030</v>
      </c>
      <c r="E10" s="23">
        <v>271190</v>
      </c>
    </row>
    <row r="11" spans="1:5">
      <c r="A11" s="5">
        <v>2019</v>
      </c>
      <c r="B11" s="18">
        <v>30000</v>
      </c>
      <c r="C11" s="30">
        <v>550000</v>
      </c>
      <c r="D11" s="27">
        <v>23007</v>
      </c>
      <c r="E11" s="23">
        <v>465850</v>
      </c>
    </row>
    <row r="12" spans="1:5">
      <c r="A12" s="5">
        <v>2020</v>
      </c>
      <c r="B12" s="18">
        <v>65000</v>
      </c>
      <c r="C12" s="30">
        <v>1000000</v>
      </c>
      <c r="D12" s="27">
        <v>34059</v>
      </c>
      <c r="E12" s="23">
        <v>884500</v>
      </c>
    </row>
    <row r="13" spans="1:5">
      <c r="A13" s="5">
        <v>2021</v>
      </c>
      <c r="B13" s="17">
        <v>100000</v>
      </c>
      <c r="C13" s="30">
        <v>2000000</v>
      </c>
      <c r="D13" s="27">
        <v>37473</v>
      </c>
      <c r="E13" s="23">
        <v>1382700</v>
      </c>
    </row>
    <row r="14" spans="1:5">
      <c r="A14" s="5">
        <v>2022</v>
      </c>
      <c r="B14" s="17">
        <v>120000</v>
      </c>
      <c r="C14" s="30">
        <v>2500000</v>
      </c>
      <c r="D14" s="27">
        <v>52960</v>
      </c>
      <c r="E14" s="23">
        <v>1874500</v>
      </c>
    </row>
    <row r="15" spans="1:5">
      <c r="A15" s="5">
        <v>2023</v>
      </c>
      <c r="B15" s="17">
        <v>190000</v>
      </c>
      <c r="C15" s="30">
        <v>3100000</v>
      </c>
      <c r="D15" s="27">
        <v>77260</v>
      </c>
      <c r="E15" s="23">
        <v>2549300</v>
      </c>
    </row>
    <row r="16" spans="1:5">
      <c r="A16" s="5">
        <v>2024</v>
      </c>
      <c r="B16" s="17">
        <v>250000</v>
      </c>
      <c r="C16" s="30">
        <v>3400000</v>
      </c>
      <c r="D16" s="27">
        <v>78200</v>
      </c>
      <c r="E16" s="23">
        <v>2561600</v>
      </c>
    </row>
    <row r="17" spans="1:5">
      <c r="A17" s="5">
        <v>2025</v>
      </c>
      <c r="B17" s="18">
        <v>62435</v>
      </c>
      <c r="C17" s="30">
        <v>4200000</v>
      </c>
      <c r="D17" s="27">
        <v>143607</v>
      </c>
      <c r="E17" s="23">
        <v>3145500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c7c99b6-fb78-45d6-ae8b-8d2800a16fc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A8CACA83DA71489B21BD2696A91DDE" ma:contentTypeVersion="15" ma:contentTypeDescription="Crear nuevo documento." ma:contentTypeScope="" ma:versionID="3cc0ad83c77ace56e92fb9bd4f88d6d7">
  <xsd:schema xmlns:xsd="http://www.w3.org/2001/XMLSchema" xmlns:xs="http://www.w3.org/2001/XMLSchema" xmlns:p="http://schemas.microsoft.com/office/2006/metadata/properties" xmlns:ns3="d130ca0a-b4eb-4f57-b81e-e464af51ae14" xmlns:ns4="ac7c99b6-fb78-45d6-ae8b-8d2800a16fca" targetNamespace="http://schemas.microsoft.com/office/2006/metadata/properties" ma:root="true" ma:fieldsID="1d782dcc3be671e7c01a30ea51f16ab4" ns3:_="" ns4:_="">
    <xsd:import namespace="d130ca0a-b4eb-4f57-b81e-e464af51ae14"/>
    <xsd:import namespace="ac7c99b6-fb78-45d6-ae8b-8d2800a16fc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SystemTag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30ca0a-b4eb-4f57-b81e-e464af51ae1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7c99b6-fb78-45d6-ae8b-8d2800a16f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EA35BF-D6C2-4431-AACA-FC361955C00C}"/>
</file>

<file path=customXml/itemProps2.xml><?xml version="1.0" encoding="utf-8"?>
<ds:datastoreItem xmlns:ds="http://schemas.openxmlformats.org/officeDocument/2006/customXml" ds:itemID="{F5053C40-7832-4ED0-886D-B986018B0A38}"/>
</file>

<file path=customXml/itemProps3.xml><?xml version="1.0" encoding="utf-8"?>
<ds:datastoreItem xmlns:ds="http://schemas.openxmlformats.org/officeDocument/2006/customXml" ds:itemID="{F54D9C12-68CF-44E2-AD55-B15E2E557E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/>
  <cp:revision/>
  <dcterms:created xsi:type="dcterms:W3CDTF">2026-03-10T10:41:19Z</dcterms:created>
  <dcterms:modified xsi:type="dcterms:W3CDTF">2026-07-27T07:30:21Z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0x010100B6A8CACA83DA71489B21BD2696A91DDE</vt:lpwstr>
  </property>
</Properties>
</file>