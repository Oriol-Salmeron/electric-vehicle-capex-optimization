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rovira-my.sharepoint.com/personal/46382548-n_epp_urv_cat/Documents/"/>
    </mc:Choice>
  </mc:AlternateContent>
  <xr:revisionPtr revIDLastSave="0" documentId="8_{09C5F7B2-74CE-4FF1-BE89-D8E23C161CD5}" xr6:coauthVersionLast="47" xr6:coauthVersionMax="47" xr10:uidLastSave="{00000000-0000-0000-0000-000000000000}"/>
  <bookViews>
    <workbookView xWindow="-120" yWindow="-120" windowWidth="29040" windowHeight="15720" xr2:uid="{2E4EF451-70D7-4471-9BC4-CAE1A7889F90}"/>
  </bookViews>
  <sheets>
    <sheet name="Venta de coches electricos" sheetId="1" r:id="rId1"/>
    <sheet name="Subsidios para los VE" sheetId="2" r:id="rId2"/>
    <sheet name="PIB Alemania" sheetId="3" r:id="rId3"/>
    <sheet name="Tipo de interés" sheetId="4" r:id="rId4"/>
    <sheet name="Puntos de carga" sheetId="5" r:id="rId5"/>
    <sheet name="Costes operativos" sheetId="6" r:id="rId6"/>
    <sheet name="Materias primas" sheetId="7" r:id="rId7"/>
    <sheet name="Conjunto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P7" i="1"/>
  <c r="Q7" i="1"/>
  <c r="R7" i="1"/>
  <c r="S7" i="1"/>
  <c r="T7" i="1"/>
  <c r="U7" i="1"/>
  <c r="O6" i="1"/>
  <c r="P6" i="1"/>
  <c r="Q6" i="1"/>
  <c r="R6" i="1"/>
  <c r="S6" i="1"/>
  <c r="T6" i="1"/>
  <c r="U6" i="1"/>
  <c r="O5" i="1"/>
  <c r="P5" i="1"/>
  <c r="Q5" i="1"/>
  <c r="R5" i="1"/>
  <c r="S5" i="1"/>
  <c r="T5" i="1"/>
  <c r="U5" i="1"/>
  <c r="O4" i="1"/>
  <c r="O8" i="1" s="1"/>
  <c r="P4" i="1"/>
  <c r="P8" i="1" s="1"/>
  <c r="Q4" i="1"/>
  <c r="Q8" i="1" s="1"/>
  <c r="R4" i="1"/>
  <c r="R8" i="1" s="1"/>
  <c r="S4" i="1"/>
  <c r="S8" i="1" s="1"/>
  <c r="T4" i="1"/>
  <c r="T8" i="1" s="1"/>
  <c r="U4" i="1"/>
  <c r="U8" i="1" s="1"/>
  <c r="N7" i="1"/>
  <c r="N6" i="1"/>
  <c r="N5" i="1"/>
  <c r="N4" i="1"/>
  <c r="N8" i="1" s="1"/>
</calcChain>
</file>

<file path=xl/sharedStrings.xml><?xml version="1.0" encoding="utf-8"?>
<sst xmlns="http://schemas.openxmlformats.org/spreadsheetml/2006/main" count="270" uniqueCount="83">
  <si>
    <t>Mensual</t>
  </si>
  <si>
    <t>Trimestral</t>
  </si>
  <si>
    <t>desembre</t>
  </si>
  <si>
    <t>4Q</t>
  </si>
  <si>
    <t>novembre</t>
  </si>
  <si>
    <t>3Q</t>
  </si>
  <si>
    <t>octubre</t>
  </si>
  <si>
    <t>2Q</t>
  </si>
  <si>
    <t>setembre</t>
  </si>
  <si>
    <t>1Q</t>
  </si>
  <si>
    <t>agost</t>
  </si>
  <si>
    <t>Total anual</t>
  </si>
  <si>
    <t>juliol</t>
  </si>
  <si>
    <t>juny</t>
  </si>
  <si>
    <t>maig</t>
  </si>
  <si>
    <t>abril</t>
  </si>
  <si>
    <t>març</t>
  </si>
  <si>
    <t>febrer</t>
  </si>
  <si>
    <t>gener</t>
  </si>
  <si>
    <t>Total Anual</t>
  </si>
  <si>
    <t>Subsidio (unweltbonus)</t>
  </si>
  <si>
    <t>Trimestre</t>
  </si>
  <si>
    <t>Cantidad abonada por VE</t>
  </si>
  <si>
    <t>2018 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</si>
  <si>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</si>
  <si>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</si>
  <si>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</si>
  <si>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</si>
  <si>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</si>
  <si>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</si>
  <si>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</si>
  <si>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</si>
  <si>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</si>
  <si>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</si>
  <si>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</si>
  <si>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</si>
  <si>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</si>
  <si>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</si>
  <si>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</si>
  <si>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</si>
  <si>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</si>
  <si>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</si>
  <si>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</si>
  <si>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</si>
  <si>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</si>
  <si>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</si>
  <si>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</si>
  <si>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</si>
  <si>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</si>
  <si>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</si>
  <si>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</si>
  <si>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</si>
  <si>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</si>
  <si>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</si>
  <si>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2025T4</t>
  </si>
  <si>
    <t>Año</t>
  </si>
  <si>
    <t>PIB Trimestral DE</t>
  </si>
  <si>
    <t>En miles de miliones</t>
  </si>
  <si>
    <t>T1</t>
  </si>
  <si>
    <t>T2</t>
  </si>
  <si>
    <t>T3</t>
  </si>
  <si>
    <t>T4</t>
  </si>
  <si>
    <t>Tipo de  interés oficial del banco central europeo</t>
  </si>
  <si>
    <t>Tasa de las operaciones principales de financiacion</t>
  </si>
  <si>
    <t>año</t>
  </si>
  <si>
    <t>trimestre</t>
  </si>
  <si>
    <t>tasa de interés</t>
  </si>
  <si>
    <t>Puntos de Carga (Total)</t>
  </si>
  <si>
    <t>Coste gasolina y electricidad</t>
  </si>
  <si>
    <t>Precio Elec kWh (€)</t>
  </si>
  <si>
    <t>Precio Gasolina L (€)</t>
  </si>
  <si>
    <t>Materias primas</t>
  </si>
  <si>
    <t>Precio del litio €/T</t>
  </si>
  <si>
    <t>Precio Litio EUR (€/T)</t>
  </si>
  <si>
    <t>Y_Matriculacions</t>
  </si>
  <si>
    <t>X1_Subsidio</t>
  </si>
  <si>
    <t>X2_PIB</t>
  </si>
  <si>
    <t>X3_Interes</t>
  </si>
  <si>
    <t>X4_Pcarrega</t>
  </si>
  <si>
    <t>X5_Pelec</t>
  </si>
  <si>
    <t>X6_Pbenz</t>
  </si>
  <si>
    <t>X7_Pliti</t>
  </si>
  <si>
    <t>2018T1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</si>
</sst>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b/>
      <sz val="10"/>
      <color rgb="FF010205"/>
      <name val="Arial"/>
      <family val="2"/>
    </font>
    <font>
      <sz val="11"/>
      <color rgb="FF1B1C1D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1B1C1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CFFD9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422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7" fillId="0" borderId="0" xfId="0" applyFont="1" applyAlignment="1">
      <alignment horizontal="right" vertical="center" wrapText="1" indent="1" readingOrder="1"/>
    </xf>
    <xf numFmtId="3" fontId="5" fillId="2" borderId="1" xfId="24" applyNumberFormat="1" applyFont="1" applyFill="1" applyBorder="1" applyAlignment="1">
      <alignment horizontal="right" vertical="top"/>
    </xf>
    <xf numFmtId="3" fontId="5" fillId="2" borderId="1" xfId="657" applyNumberFormat="1" applyFont="1" applyFill="1" applyBorder="1" applyAlignment="1">
      <alignment horizontal="right" vertical="top"/>
    </xf>
    <xf numFmtId="3" fontId="5" fillId="2" borderId="1" xfId="803" applyNumberFormat="1" applyFont="1" applyFill="1" applyBorder="1" applyAlignment="1">
      <alignment horizontal="right" vertical="top"/>
    </xf>
    <xf numFmtId="3" fontId="5" fillId="2" borderId="1" xfId="1158" applyNumberFormat="1" applyFont="1" applyFill="1" applyBorder="1" applyAlignment="1">
      <alignment horizontal="right" vertical="top"/>
    </xf>
    <xf numFmtId="3" fontId="5" fillId="2" borderId="1" xfId="1317" applyNumberFormat="1" applyFont="1" applyFill="1" applyBorder="1" applyAlignment="1">
      <alignment horizontal="right" vertical="top"/>
    </xf>
    <xf numFmtId="0" fontId="0" fillId="2" borderId="1" xfId="0" applyFill="1" applyBorder="1"/>
    <xf numFmtId="3" fontId="5" fillId="2" borderId="1" xfId="524" applyNumberFormat="1" applyFont="1" applyFill="1" applyBorder="1" applyAlignment="1">
      <alignment horizontal="right" vertical="top"/>
    </xf>
    <xf numFmtId="3" fontId="5" fillId="2" borderId="1" xfId="791" applyNumberFormat="1" applyFont="1" applyFill="1" applyBorder="1" applyAlignment="1">
      <alignment horizontal="right" vertical="top"/>
    </xf>
    <xf numFmtId="3" fontId="5" fillId="2" borderId="1" xfId="347" applyNumberFormat="1" applyFont="1" applyFill="1" applyBorder="1" applyAlignment="1">
      <alignment horizontal="right" vertical="top"/>
    </xf>
    <xf numFmtId="3" fontId="5" fillId="2" borderId="1" xfId="320" applyNumberFormat="1" applyFont="1" applyFill="1" applyBorder="1" applyAlignment="1">
      <alignment horizontal="right" vertical="top"/>
    </xf>
    <xf numFmtId="3" fontId="5" fillId="2" borderId="1" xfId="840" applyNumberFormat="1" applyFont="1" applyFill="1" applyBorder="1" applyAlignment="1">
      <alignment horizontal="right" vertical="top"/>
    </xf>
    <xf numFmtId="3" fontId="5" fillId="2" borderId="1" xfId="315" applyNumberFormat="1" applyFont="1" applyFill="1" applyBorder="1" applyAlignment="1">
      <alignment horizontal="right" vertical="top"/>
    </xf>
    <xf numFmtId="3" fontId="5" fillId="2" borderId="1" xfId="797" applyNumberFormat="1" applyFont="1" applyFill="1" applyBorder="1" applyAlignment="1">
      <alignment horizontal="right" vertical="top"/>
    </xf>
    <xf numFmtId="3" fontId="5" fillId="2" borderId="1" xfId="309" applyNumberFormat="1" applyFont="1" applyFill="1" applyBorder="1" applyAlignment="1">
      <alignment horizontal="right" vertical="top"/>
    </xf>
    <xf numFmtId="3" fontId="5" fillId="2" borderId="1" xfId="809" applyNumberFormat="1" applyFont="1" applyFill="1" applyBorder="1" applyAlignment="1">
      <alignment horizontal="right" vertical="top"/>
    </xf>
    <xf numFmtId="3" fontId="5" fillId="2" borderId="1" xfId="304" applyNumberFormat="1" applyFont="1" applyFill="1" applyBorder="1" applyAlignment="1">
      <alignment horizontal="right" vertical="top"/>
    </xf>
    <xf numFmtId="3" fontId="5" fillId="2" borderId="1" xfId="175" applyNumberFormat="1" applyFont="1" applyFill="1" applyBorder="1" applyAlignment="1">
      <alignment horizontal="right" vertical="top"/>
    </xf>
    <xf numFmtId="3" fontId="5" fillId="2" borderId="1" xfId="681" applyNumberFormat="1" applyFont="1" applyFill="1" applyBorder="1" applyAlignment="1">
      <alignment horizontal="right" vertical="top"/>
    </xf>
    <xf numFmtId="3" fontId="5" fillId="2" borderId="1" xfId="1391" applyNumberFormat="1" applyFont="1" applyFill="1" applyBorder="1" applyAlignment="1">
      <alignment horizontal="right" vertical="top"/>
    </xf>
    <xf numFmtId="3" fontId="0" fillId="2" borderId="1" xfId="0" applyNumberFormat="1" applyFill="1" applyBorder="1"/>
    <xf numFmtId="0" fontId="9" fillId="3" borderId="1" xfId="0" applyFont="1" applyFill="1" applyBorder="1" applyAlignment="1">
      <alignment horizontal="right" vertical="center" wrapText="1" indent="1" readingOrder="1"/>
    </xf>
    <xf numFmtId="0" fontId="7" fillId="2" borderId="1" xfId="0" applyFont="1" applyFill="1" applyBorder="1" applyAlignment="1">
      <alignment horizontal="right" vertical="center" wrapText="1" indent="1" readingOrder="1"/>
    </xf>
    <xf numFmtId="0" fontId="9" fillId="3" borderId="2" xfId="0" applyFont="1" applyFill="1" applyBorder="1" applyAlignment="1">
      <alignment horizontal="right" vertical="center" wrapText="1" indent="1" readingOrder="1"/>
    </xf>
    <xf numFmtId="0" fontId="8" fillId="3" borderId="3" xfId="0" applyFont="1" applyFill="1" applyBorder="1"/>
    <xf numFmtId="0" fontId="8" fillId="3" borderId="4" xfId="0" applyFont="1" applyFill="1" applyBorder="1"/>
    <xf numFmtId="0" fontId="9" fillId="3" borderId="5" xfId="0" applyFont="1" applyFill="1" applyBorder="1" applyAlignment="1">
      <alignment horizontal="right" vertical="center" wrapText="1" indent="1" readingOrder="1"/>
    </xf>
    <xf numFmtId="0" fontId="0" fillId="2" borderId="6" xfId="0" applyFill="1" applyBorder="1"/>
    <xf numFmtId="0" fontId="9" fillId="3" borderId="7" xfId="0" applyFont="1" applyFill="1" applyBorder="1" applyAlignment="1">
      <alignment horizontal="right" vertical="center" wrapText="1" indent="1" readingOrder="1"/>
    </xf>
    <xf numFmtId="0" fontId="0" fillId="2" borderId="8" xfId="0" applyFill="1" applyBorder="1"/>
    <xf numFmtId="0" fontId="0" fillId="2" borderId="9" xfId="0" applyFill="1" applyBorder="1"/>
    <xf numFmtId="0" fontId="9" fillId="3" borderId="3" xfId="0" applyFont="1" applyFill="1" applyBorder="1" applyAlignment="1">
      <alignment horizontal="right" vertical="center" wrapText="1" indent="1" readingOrder="1"/>
    </xf>
    <xf numFmtId="0" fontId="9" fillId="3" borderId="4" xfId="0" applyFont="1" applyFill="1" applyBorder="1" applyAlignment="1">
      <alignment horizontal="right" vertical="center" wrapText="1" indent="1" readingOrder="1"/>
    </xf>
    <xf numFmtId="0" fontId="7" fillId="2" borderId="6" xfId="0" applyFont="1" applyFill="1" applyBorder="1" applyAlignment="1">
      <alignment horizontal="right" vertical="center" wrapText="1" indent="1" readingOrder="1"/>
    </xf>
    <xf numFmtId="0" fontId="7" fillId="2" borderId="8" xfId="0" applyFont="1" applyFill="1" applyBorder="1" applyAlignment="1">
      <alignment horizontal="right" vertical="center" wrapText="1" indent="1" readingOrder="1"/>
    </xf>
    <xf numFmtId="0" fontId="7" fillId="2" borderId="9" xfId="0" applyFont="1" applyFill="1" applyBorder="1" applyAlignment="1">
      <alignment horizontal="right" vertical="center" wrapText="1" indent="1" readingOrder="1"/>
    </xf>
    <xf numFmtId="0" fontId="8" fillId="3" borderId="2" xfId="0" applyFont="1" applyFill="1" applyBorder="1"/>
    <xf numFmtId="0" fontId="8" fillId="3" borderId="5" xfId="0" applyFont="1" applyFill="1" applyBorder="1"/>
    <xf numFmtId="0" fontId="8" fillId="3" borderId="7" xfId="0" applyFont="1" applyFill="1" applyBorder="1"/>
    <xf numFmtId="3" fontId="5" fillId="2" borderId="6" xfId="1317" applyNumberFormat="1" applyFont="1" applyFill="1" applyBorder="1" applyAlignment="1">
      <alignment horizontal="right" vertical="top"/>
    </xf>
    <xf numFmtId="3" fontId="6" fillId="2" borderId="8" xfId="24" applyNumberFormat="1" applyFont="1" applyFill="1" applyBorder="1" applyAlignment="1">
      <alignment horizontal="right" vertical="top"/>
    </xf>
    <xf numFmtId="3" fontId="6" fillId="2" borderId="8" xfId="652" applyNumberFormat="1" applyFont="1" applyFill="1" applyBorder="1" applyAlignment="1">
      <alignment horizontal="right" vertical="top"/>
    </xf>
    <xf numFmtId="3" fontId="6" fillId="2" borderId="8" xfId="803" applyNumberFormat="1" applyFont="1" applyFill="1" applyBorder="1" applyAlignment="1">
      <alignment horizontal="right" vertical="top"/>
    </xf>
    <xf numFmtId="3" fontId="6" fillId="2" borderId="8" xfId="1152" applyNumberFormat="1" applyFont="1" applyFill="1" applyBorder="1" applyAlignment="1">
      <alignment horizontal="right" vertical="top"/>
    </xf>
    <xf numFmtId="3" fontId="6" fillId="2" borderId="8" xfId="1317" applyNumberFormat="1" applyFont="1" applyFill="1" applyBorder="1" applyAlignment="1">
      <alignment horizontal="right" vertical="top"/>
    </xf>
    <xf numFmtId="3" fontId="6" fillId="2" borderId="9" xfId="1317" applyNumberFormat="1" applyFont="1" applyFill="1" applyBorder="1" applyAlignment="1">
      <alignment horizontal="right" vertical="top"/>
    </xf>
    <xf numFmtId="0" fontId="8" fillId="3" borderId="10" xfId="0" applyFont="1" applyFill="1" applyBorder="1"/>
    <xf numFmtId="0" fontId="8" fillId="3" borderId="11" xfId="0" applyFont="1" applyFill="1" applyBorder="1"/>
    <xf numFmtId="0" fontId="8" fillId="3" borderId="12" xfId="0" applyFont="1" applyFill="1" applyBorder="1"/>
    <xf numFmtId="3" fontId="0" fillId="2" borderId="6" xfId="0" applyNumberFormat="1" applyFill="1" applyBorder="1"/>
    <xf numFmtId="0" fontId="8" fillId="3" borderId="13" xfId="0" applyFont="1" applyFill="1" applyBorder="1"/>
    <xf numFmtId="3" fontId="6" fillId="2" borderId="9" xfId="24" applyNumberFormat="1" applyFont="1" applyFill="1" applyBorder="1" applyAlignment="1">
      <alignment horizontal="right" vertical="top"/>
    </xf>
  </cellXfs>
  <cellStyles count="1422">
    <cellStyle name="Hyperlink 3" xfId="3" xr:uid="{E3E5470C-E0BC-4636-919A-76F9FDAA4836}"/>
    <cellStyle name="Hyperlink 4" xfId="2" xr:uid="{5DA7C7BC-B26F-4600-94D1-9FB7FB306D76}"/>
    <cellStyle name="Normal" xfId="0" builtinId="0"/>
    <cellStyle name="Standard 2" xfId="4" xr:uid="{78232274-1438-4E94-BC09-22EC8CAB77D4}"/>
    <cellStyle name="Standard 2 3" xfId="313" xr:uid="{9E5E0F90-966E-49D7-9BD2-7BB9CFEE2376}"/>
    <cellStyle name="Standard 4 2 2" xfId="1" xr:uid="{9CD1AD71-0305-4C55-A1A6-E4FADBF7AF48}"/>
    <cellStyle name="style1530863086284" xfId="5" xr:uid="{DBA0C090-1ACA-43F5-BFBA-A080FB4196FA}"/>
    <cellStyle name="style1530863086393" xfId="6" xr:uid="{8F5354E2-F438-4F92-B89B-7127691A029A}"/>
    <cellStyle name="style1612520250723" xfId="7" xr:uid="{580C475D-2A32-433E-A7CD-E68E126BFCCC}"/>
    <cellStyle name="style1612520250796" xfId="8" xr:uid="{FE679666-F508-47A5-92B3-4D8996FC6670}"/>
    <cellStyle name="style1612520250890" xfId="9" xr:uid="{9D366616-CE93-41AF-A049-84227D429621}"/>
    <cellStyle name="style1612520250962" xfId="10" xr:uid="{0CB34241-99E4-4963-A9D6-827F566A30B2}"/>
    <cellStyle name="style1612520251034" xfId="11" xr:uid="{135EB610-57A1-4672-9D33-AAD4120751F7}"/>
    <cellStyle name="style1612520251106" xfId="12" xr:uid="{66B7F9D2-CF5B-4890-9DAA-EA0BC4F57211}"/>
    <cellStyle name="style1612520251178" xfId="13" xr:uid="{F740349A-0645-4B2C-ADC9-878135C6ACC1}"/>
    <cellStyle name="style1612520251272" xfId="14" xr:uid="{C638144A-2A8E-4291-A58F-0AEB967FC746}"/>
    <cellStyle name="style1612520251343" xfId="15" xr:uid="{167C2873-1B27-4525-9B3D-2B427D5279F3}"/>
    <cellStyle name="style1612520251415" xfId="16" xr:uid="{9B478D9D-9AD2-46B5-A0FC-3D3F3DAB13BD}"/>
    <cellStyle name="style1612520251488" xfId="17" xr:uid="{5845D6D4-723D-4C99-920B-2F6C2F12AB61}"/>
    <cellStyle name="style1612522625633" xfId="113" xr:uid="{8784831F-FE0E-40D5-BC05-2922C3D0B444}"/>
    <cellStyle name="style1612522625713" xfId="116" xr:uid="{CC29B94C-B95A-4010-B03A-551E6F769584}"/>
    <cellStyle name="style1612522625794" xfId="119" xr:uid="{4728D00C-672B-405A-AED5-2C293E4D382C}"/>
    <cellStyle name="style1612522625871" xfId="114" xr:uid="{2FAE5C62-106B-4F95-A5A1-732953A0FFF6}"/>
    <cellStyle name="style1612522625930" xfId="115" xr:uid="{0515B227-26B4-4107-AB2A-72CF5FE03AC7}"/>
    <cellStyle name="style1612522625991" xfId="117" xr:uid="{CD92D76D-18E4-499C-9632-C893A1F9FAB1}"/>
    <cellStyle name="style1612522626066" xfId="118" xr:uid="{AF3E80DE-94A0-4A31-B919-5F30AB1A4128}"/>
    <cellStyle name="style1612522626147" xfId="120" xr:uid="{9C7335B8-6D0E-4B73-BF8E-979AB1A9FB6A}"/>
    <cellStyle name="style1612522626209" xfId="121" xr:uid="{D00A2E0B-1C90-474B-AC33-DA8B4EC04C9A}"/>
    <cellStyle name="style1612524629470" xfId="137" xr:uid="{7A9DC00A-D600-4D77-8FB4-7621CE4E94A0}"/>
    <cellStyle name="style1612524629542" xfId="140" xr:uid="{5C08ED99-3849-48B5-8D04-AD4955BBAC91}"/>
    <cellStyle name="style1612524629614" xfId="143" xr:uid="{D1FF9746-52CD-4D8B-B20D-5628EF941205}"/>
    <cellStyle name="style1612524629677" xfId="138" xr:uid="{4A49579A-9F97-4EE9-9995-49FCE50FF2A9}"/>
    <cellStyle name="style1612524629732" xfId="139" xr:uid="{74250524-BADA-4ACB-BA86-D5BFEF4148C1}"/>
    <cellStyle name="style1612524629788" xfId="141" xr:uid="{DBAB65FE-F0C9-48F4-8D1A-322B74FE52AB}"/>
    <cellStyle name="style1612524629851" xfId="142" xr:uid="{8C607C43-1C85-490C-8C69-27D8E246F2F6}"/>
    <cellStyle name="style1612524629915" xfId="144" xr:uid="{1452C133-3BC3-4655-97E8-E48FB935F10F}"/>
    <cellStyle name="style1612524629973" xfId="145" xr:uid="{61EE88DB-0AD1-4EE6-90E0-8E68C384DDEB}"/>
    <cellStyle name="style1612526602893" xfId="131" xr:uid="{C9629C75-7B56-49AE-9349-90461F342C13}"/>
    <cellStyle name="style1612526602955" xfId="134" xr:uid="{478649AA-D02B-4E3F-921B-3052B7EFFFA0}"/>
    <cellStyle name="style1612526603020" xfId="132" xr:uid="{EEA7E26E-3794-4683-A8DC-6D2BBCAF8AA6}"/>
    <cellStyle name="style1612526603081" xfId="133" xr:uid="{E18170E1-1041-41BF-8252-EF1991F2A01E}"/>
    <cellStyle name="style1612526603144" xfId="135" xr:uid="{989E3BED-8E20-483B-B14B-EE807C27CA83}"/>
    <cellStyle name="style1612526603205" xfId="136" xr:uid="{B6901488-B1F4-4C17-B0A7-B05AF4EF1B41}"/>
    <cellStyle name="style1612526603265" xfId="122" xr:uid="{D5DA3253-4C29-4767-AAEC-82A373CE31EC}"/>
    <cellStyle name="style1612526603326" xfId="124" xr:uid="{C33708F7-F993-435F-8D22-0897402A3F27}"/>
    <cellStyle name="style1612526603389" xfId="128" xr:uid="{BA85699B-C24E-433B-B5D8-968599BC2934}"/>
    <cellStyle name="style1612526603451" xfId="125" xr:uid="{F416943D-F33F-4303-BDCC-2EB035A0826A}"/>
    <cellStyle name="style1612526603504" xfId="123" xr:uid="{2BC992D0-E09B-434F-88AE-A350E7121807}"/>
    <cellStyle name="style1612526603558" xfId="126" xr:uid="{0C725E38-73F4-47F2-B57E-2659769E107B}"/>
    <cellStyle name="style1612526603620" xfId="127" xr:uid="{1F2B6E41-0A99-4AA5-80DF-210F8DC59C56}"/>
    <cellStyle name="style1612526603684" xfId="129" xr:uid="{AC24405A-9AD2-4CB4-94C8-E18659A06F2E}"/>
    <cellStyle name="style1612526603738" xfId="130" xr:uid="{729EE768-99BE-45BE-9378-4BB30259B735}"/>
    <cellStyle name="style1612526629411" xfId="35" xr:uid="{D1C0CF6E-6A2F-4505-9147-8857A929E521}"/>
    <cellStyle name="style1612526629464" xfId="36" xr:uid="{0872BFE2-E885-4248-9C53-241B99F2CDB1}"/>
    <cellStyle name="style1612526629517" xfId="37" xr:uid="{F0FE2120-6563-4ACB-8D94-EE4670C43E0D}"/>
    <cellStyle name="style1612526629574" xfId="38" xr:uid="{1DDE6D92-761F-4AFD-8449-395478437CD2}"/>
    <cellStyle name="style1612526629627" xfId="39" xr:uid="{1739E6A2-51E0-4D98-B552-A436B1F23D29}"/>
    <cellStyle name="style1612526629680" xfId="40" xr:uid="{FD59B416-9AD4-4CF1-8E08-D2BB08AA4D6A}"/>
    <cellStyle name="style1612526629748" xfId="41" xr:uid="{61030D45-5BCF-410D-BC55-0DD622BA3A8E}"/>
    <cellStyle name="style1612526629801" xfId="42" xr:uid="{341243F3-3F50-4E08-A7A9-34BAD6629A0D}"/>
    <cellStyle name="style1612526629855" xfId="43" xr:uid="{BD63D30C-D835-48B4-847E-6CA54003ED04}"/>
    <cellStyle name="style1612526629919" xfId="44" xr:uid="{9468FFB5-58AB-43F5-A0B1-607B35F26EFB}"/>
    <cellStyle name="style1612526629972" xfId="45" xr:uid="{CBA87842-AF71-4D33-843A-290608630D46}"/>
    <cellStyle name="style1612526630026" xfId="46" xr:uid="{8E2C09D7-BB98-4C07-B214-EC82208BBB97}"/>
    <cellStyle name="style1612526630080" xfId="47" xr:uid="{D7C7CB1B-0B21-4F57-ADED-9B97EB3006A6}"/>
    <cellStyle name="style1612526630134" xfId="48" xr:uid="{E9586154-E11D-4EBB-813B-4E1521A4A05C}"/>
    <cellStyle name="style1612526651693" xfId="62" xr:uid="{127618EF-6ED4-4F1A-A336-DD7D7659A2A0}"/>
    <cellStyle name="style1612526651762" xfId="63" xr:uid="{56AFC664-175D-40B3-82D9-1DAE69A7CD6B}"/>
    <cellStyle name="style1612526651838" xfId="64" xr:uid="{0C767ABA-A0D4-482C-AE21-1EB7F883C63F}"/>
    <cellStyle name="style1612526651908" xfId="49" xr:uid="{B1645840-A4C5-4A5F-A249-3623D23C6113}"/>
    <cellStyle name="style1612526651967" xfId="50" xr:uid="{9AE435E0-4A2F-49E3-88D9-39C797653C60}"/>
    <cellStyle name="style1612526652026" xfId="51" xr:uid="{A0576B11-4507-44EF-ADB0-82EE2025F2BB}"/>
    <cellStyle name="style1612526652083" xfId="52" xr:uid="{93F45A64-3A7D-4337-B886-6916475A0FE6}"/>
    <cellStyle name="style1612526652136" xfId="53" xr:uid="{E2F51306-1B52-4F8D-BBB1-AF8AC2DA9C57}"/>
    <cellStyle name="style1612526652203" xfId="54" xr:uid="{2A84CF4C-B1BE-4790-8D11-37A8E1225D09}"/>
    <cellStyle name="style1612526652272" xfId="55" xr:uid="{836D6E43-86A1-49B7-BE03-FF2E7BDC146A}"/>
    <cellStyle name="style1612526652344" xfId="56" xr:uid="{4F8EBD08-EE5B-490D-8F81-182E75367C56}"/>
    <cellStyle name="style1612526652398" xfId="57" xr:uid="{3F2EF69B-3490-4747-9A6F-7C6E3761D0A8}"/>
    <cellStyle name="style1612526652500" xfId="58" xr:uid="{3595002E-B2E8-41F7-840A-351724FB450D}"/>
    <cellStyle name="style1612526652552" xfId="59" xr:uid="{F0CF883E-CABB-4771-AFA6-637823609E5C}"/>
    <cellStyle name="style1612526652604" xfId="60" xr:uid="{4D06A914-6817-4F04-A3EE-3495BF7179BD}"/>
    <cellStyle name="style1612526652659" xfId="61" xr:uid="{6B972479-F537-4A74-8C84-5DD64E5BFC9F}"/>
    <cellStyle name="style1612528464711" xfId="65" xr:uid="{5EB97CAF-083C-4202-ADB3-A3856DDD3BB6}"/>
    <cellStyle name="style1612528464784" xfId="70" xr:uid="{A5BF491D-5729-4A82-95CC-87A5E289A9AF}"/>
    <cellStyle name="style1612528464861" xfId="77" xr:uid="{2D75EB12-3F1C-4FD6-93E7-A14116CC786D}"/>
    <cellStyle name="style1612528464932" xfId="66" xr:uid="{508B3154-146A-4B2E-9379-BA2210FE0C74}"/>
    <cellStyle name="style1612528465007" xfId="67" xr:uid="{0A0EACCF-B743-4AB5-88D8-C53F2B86E6E6}"/>
    <cellStyle name="style1612528465080" xfId="68" xr:uid="{B10035E0-98A4-4546-926A-4577B123676B}"/>
    <cellStyle name="style1612528465139" xfId="69" xr:uid="{EABB8FDF-29AF-44D7-974F-BD5B633A370F}"/>
    <cellStyle name="style1612528465204" xfId="71" xr:uid="{5DBF793A-2E0E-4A1E-AC81-012A550037D4}"/>
    <cellStyle name="style1612528465267" xfId="72" xr:uid="{62F1D7DF-96FB-49B8-8E38-4AB0A7BB6420}"/>
    <cellStyle name="style1612528465326" xfId="73" xr:uid="{C72042AE-71AD-4921-A70E-3158B680FC42}"/>
    <cellStyle name="style1612528465392" xfId="74" xr:uid="{BEE92C9B-68D4-431E-9262-EDA785ACD3ED}"/>
    <cellStyle name="style1612528465458" xfId="75" xr:uid="{42D08C5F-1D46-4C87-B560-C5106F580AC8}"/>
    <cellStyle name="style1612528465517" xfId="76" xr:uid="{5B747518-D880-4FB6-8118-0632398E520B}"/>
    <cellStyle name="style1612528465635" xfId="78" xr:uid="{5C1FCC2A-188C-415D-8AE7-94964CB444FE}"/>
    <cellStyle name="style1612528465693" xfId="79" xr:uid="{831903E6-2BC3-4FBA-9C58-1CAED0CD1748}"/>
    <cellStyle name="style1612528465751" xfId="80" xr:uid="{877D93FF-5506-4D21-8D52-4C58CB5D7466}"/>
    <cellStyle name="style1612528465805" xfId="81" xr:uid="{59DB49F5-16F4-4204-BAFB-92536BFA3F0C}"/>
    <cellStyle name="style1612528512661" xfId="82" xr:uid="{9382C4B3-1FB2-471C-A51B-429EDF6A8E82}"/>
    <cellStyle name="style1612528512855" xfId="85" xr:uid="{D99D680F-5617-402C-9285-958F976BB812}"/>
    <cellStyle name="style1612528513083" xfId="88" xr:uid="{219199BC-90F2-4DC5-8BC6-0FA58BA9D713}"/>
    <cellStyle name="style1612528513153" xfId="83" xr:uid="{AE18EA8A-58DC-4DA2-A5FA-6E25086EA90C}"/>
    <cellStyle name="style1612528513210" xfId="84" xr:uid="{F3E9705A-D025-4C96-9B18-E4783AC2B008}"/>
    <cellStyle name="style1612528513266" xfId="86" xr:uid="{B32890AE-4FE8-4A64-AB51-929ED29EC931}"/>
    <cellStyle name="style1612528513319" xfId="87" xr:uid="{0E9D9E1B-F41A-4B64-B913-216D4CAD82AC}"/>
    <cellStyle name="style1612528513384" xfId="89" xr:uid="{50E8B218-B065-4908-B8D7-74AF7168F772}"/>
    <cellStyle name="style1612528513437" xfId="90" xr:uid="{400AF45A-E9CF-4508-9BE2-6ACAF2BBCFBD}"/>
    <cellStyle name="style1612528543536" xfId="91" xr:uid="{C20D66B4-AF6F-472B-BC03-D13E1D65A96D}"/>
    <cellStyle name="style1612528543593" xfId="92" xr:uid="{08DCFBC1-31CF-4817-AA51-D48BD9D529F8}"/>
    <cellStyle name="style1612528543664" xfId="93" xr:uid="{0D076767-8297-4516-BE85-A723A5EAFAE8}"/>
    <cellStyle name="style1612528543718" xfId="94" xr:uid="{7712D35D-E9C1-4010-9BB3-29FC87EEA496}"/>
    <cellStyle name="style1612528543774" xfId="95" xr:uid="{5161EAC9-03F6-4C28-BFD8-872F83C6F0B6}"/>
    <cellStyle name="style1612528543829" xfId="96" xr:uid="{BC42E527-52B3-4BD5-95F4-901127212A99}"/>
    <cellStyle name="style1612528543883" xfId="97" xr:uid="{4CAC8BA2-5286-4EA9-9994-BECF7972A479}"/>
    <cellStyle name="style1612528543951" xfId="98" xr:uid="{80451407-1750-418F-8A9E-C37AAA100C7E}"/>
    <cellStyle name="style1612528544003" xfId="99" xr:uid="{E89EB138-8FAA-4C46-AF57-6BA268E73A39}"/>
    <cellStyle name="style1612528544056" xfId="100" xr:uid="{1D026A91-8105-4861-A0D8-36CD135BF346}"/>
    <cellStyle name="style1612528544110" xfId="101" xr:uid="{8CAA1A98-9CD1-461B-A94E-2E7C55955186}"/>
    <cellStyle name="style1612528564121" xfId="102" xr:uid="{CA49BCDA-A824-47EC-853E-5CA216A0DB10}"/>
    <cellStyle name="style1612528564176" xfId="103" xr:uid="{ADF8B16F-AEDB-4A7F-8F0E-E707DD70CE32}"/>
    <cellStyle name="style1612528564245" xfId="104" xr:uid="{65C14BD8-02F0-4F76-A740-8FA0DA6FB795}"/>
    <cellStyle name="style1612528564300" xfId="105" xr:uid="{AACF6053-D133-4927-B582-B8811D30CA38}"/>
    <cellStyle name="style1612528564354" xfId="106" xr:uid="{2F5F3DAC-ACDA-45AF-BDFD-C4E38D7C98BC}"/>
    <cellStyle name="style1612528564409" xfId="107" xr:uid="{2AED8FA3-91C6-422A-ABD7-61D6FEC5673F}"/>
    <cellStyle name="style1612528564464" xfId="108" xr:uid="{5C9F54F5-D53B-4E12-A4F6-D30B0A0B1F77}"/>
    <cellStyle name="style1612528564536" xfId="109" xr:uid="{298830F1-68E1-4C78-A8CE-E39BE5D373D6}"/>
    <cellStyle name="style1612528564594" xfId="110" xr:uid="{35754439-2BFB-403F-A44C-229386967550}"/>
    <cellStyle name="style1612528564648" xfId="111" xr:uid="{B90A2476-7F8F-49C1-86A6-600C4DDC1A91}"/>
    <cellStyle name="style1612528564703" xfId="112" xr:uid="{250448D9-126F-4BCE-BB7F-1D1A93FB4A36}"/>
    <cellStyle name="style1612530438560" xfId="18" xr:uid="{0EA3DAF1-5A43-462C-A962-6E726C59710F}"/>
    <cellStyle name="style1612530438624" xfId="19" xr:uid="{19F6F67E-2AD0-4D0E-AF34-E9F904488BF5}"/>
    <cellStyle name="style1612530438703" xfId="20" xr:uid="{DD62347B-237D-43C8-BA5B-8F3B5AE75B1A}"/>
    <cellStyle name="style1612530438769" xfId="21" xr:uid="{5445CCD8-8C18-41CD-AE4C-5B57967685F0}"/>
    <cellStyle name="style1612530438831" xfId="22" xr:uid="{130E9662-F752-4D50-AB44-CEFED4322D51}"/>
    <cellStyle name="style1612530438894" xfId="23" xr:uid="{A86BA51D-A3DB-438E-A483-42C2B2104A72}"/>
    <cellStyle name="style1612530438959" xfId="24" xr:uid="{005EEA2F-709A-48A8-877E-C496D474157A}"/>
    <cellStyle name="style1612530439039" xfId="25" xr:uid="{2319E1A2-CDDD-4B94-ACA1-142A713BA497}"/>
    <cellStyle name="style1612530439100" xfId="26" xr:uid="{D5ABDC75-B3C4-48B0-AF03-2744D33A62A1}"/>
    <cellStyle name="style1612530439166" xfId="27" xr:uid="{43ABD387-AFB7-42A8-9D82-A686E2D29055}"/>
    <cellStyle name="style1612530439348" xfId="28" xr:uid="{E0DC5387-2DE9-4D49-B715-CEA3B4FF0409}"/>
    <cellStyle name="style1612530439447" xfId="29" xr:uid="{61BB977E-EC88-45FC-AF59-05EFC12438CF}"/>
    <cellStyle name="style1612530439515" xfId="30" xr:uid="{6AFB11CE-2332-4FDD-B51C-61CAB1E06652}"/>
    <cellStyle name="style1612530439603" xfId="31" xr:uid="{6EDF273D-8364-4A85-8C6C-71929A075E4D}"/>
    <cellStyle name="style1612530439670" xfId="32" xr:uid="{E567BB2A-77C2-4C25-A2C6-33DAD2ECCE8E}"/>
    <cellStyle name="style1612530439738" xfId="33" xr:uid="{D82AC805-3885-4A9B-8EE6-3C5CB73D1D6A}"/>
    <cellStyle name="style1612530439807" xfId="34" xr:uid="{B5A0B41B-EE80-4087-9941-166007E0693E}"/>
    <cellStyle name="style1613128140960" xfId="146" xr:uid="{94184E28-F4EC-452A-B8DE-6A497E0D21E3}"/>
    <cellStyle name="style1613128140997" xfId="147" xr:uid="{FC9AF675-4726-4ABE-9608-FCF06EFBD8A3}"/>
    <cellStyle name="style1613128141050" xfId="148" xr:uid="{03C1B515-8337-4D48-A11E-6CD45F604FDA}"/>
    <cellStyle name="style1613128141094" xfId="150" xr:uid="{2D724FC2-A72C-40BE-A88C-A93BDD1269A6}"/>
    <cellStyle name="style1613128141145" xfId="149" xr:uid="{E39C61DD-4542-42F5-BA00-8E0F42B43C46}"/>
    <cellStyle name="style1614582632061" xfId="151" xr:uid="{E71B23F8-0D2F-42DE-BF8A-CEFABD9967FB}"/>
    <cellStyle name="style1614582632092" xfId="152" xr:uid="{4C4E29F8-00BC-47BB-927C-6F42F84C10D8}"/>
    <cellStyle name="style1614582632155" xfId="153" xr:uid="{B0955500-0BD4-408F-AB02-9A382EB31225}"/>
    <cellStyle name="style1614582632202" xfId="154" xr:uid="{2149A637-1FB8-4980-A152-2C01D0BC5ABB}"/>
    <cellStyle name="style1614582632233" xfId="155" xr:uid="{56EF7F62-BEE9-4DB0-A98C-1711F52CDBE0}"/>
    <cellStyle name="style1614582632280" xfId="156" xr:uid="{17DAF06D-B3FD-408C-8328-C729278A44F7}"/>
    <cellStyle name="style1614582632327" xfId="157" xr:uid="{397B56DA-EB81-4B21-9E17-F5EC6A06486E}"/>
    <cellStyle name="style1614582632373" xfId="158" xr:uid="{053691E4-40E9-4AA5-8009-5B35D14A6C98}"/>
    <cellStyle name="style1614582632420" xfId="159" xr:uid="{1E8AE15D-B0EC-4D39-BBE9-9763F650A535}"/>
    <cellStyle name="style1614582632467" xfId="160" xr:uid="{1A916BD0-0980-4D2B-9AC1-6D049D43CEC0}"/>
    <cellStyle name="style1614582632514" xfId="161" xr:uid="{80ABEF75-54CD-4774-852F-533D337C2507}"/>
    <cellStyle name="style1614582632561" xfId="162" xr:uid="{41B801B4-F51B-44B3-BFF6-041FE710AC3D}"/>
    <cellStyle name="style1614582632608" xfId="163" xr:uid="{6CF738C5-B611-4E8F-A57B-AB4744F02590}"/>
    <cellStyle name="style1614582632655" xfId="164" xr:uid="{48CDE142-D7A0-407B-83E4-DB74779433EC}"/>
    <cellStyle name="style1614582632702" xfId="165" xr:uid="{32DF0F4D-9F93-4C7B-8E19-E589A7B4D89B}"/>
    <cellStyle name="style1614582632748" xfId="166" xr:uid="{AFDA99C7-9183-42F5-8022-5BEE0895359F}"/>
    <cellStyle name="style1614582632795" xfId="167" xr:uid="{D247FD14-EC98-47C8-AAB4-9C6E5885708E}"/>
    <cellStyle name="style1614582632842" xfId="168" xr:uid="{83DAB5CC-88EE-4657-8714-9048D3FE6292}"/>
    <cellStyle name="style1614582958139" xfId="169" xr:uid="{B3D11352-542A-4A8A-87F8-56068BBFC3AD}"/>
    <cellStyle name="style1614582958186" xfId="170" xr:uid="{ACC2B17B-7AF2-4E49-AE3E-C157D74DD301}"/>
    <cellStyle name="style1614582958233" xfId="171" xr:uid="{E412B11F-AF55-4A6A-9903-AC3946BEC0F5}"/>
    <cellStyle name="style1614582958280" xfId="172" xr:uid="{3D5520C5-B480-42CE-A662-08952F2AE2F4}"/>
    <cellStyle name="style1614582958327" xfId="173" xr:uid="{019BEFDC-60A9-4C13-A2DD-E219E26A4A82}"/>
    <cellStyle name="style1614582958358" xfId="174" xr:uid="{1DA27DEB-EFDD-4CF9-841D-E3215B9FABA2}"/>
    <cellStyle name="style1614582958405" xfId="175" xr:uid="{3F7BD47F-E991-405C-8BF9-92B7E1E6ECB0}"/>
    <cellStyle name="style1614582958468" xfId="176" xr:uid="{C0E42515-47EB-4DC1-A72F-AD49B1228CE0}"/>
    <cellStyle name="style1614582958514" xfId="177" xr:uid="{FD9A46BD-CEF5-46AB-82B6-89E827FECB00}"/>
    <cellStyle name="style1614582958561" xfId="178" xr:uid="{23AFD3C4-386F-47CA-8117-E4FE94F81E14}"/>
    <cellStyle name="style1614584631430" xfId="276" xr:uid="{E46D6096-08D7-48BE-9A22-254779827399}"/>
    <cellStyle name="style1614584631477" xfId="279" xr:uid="{2450C942-5551-446A-B95D-68BED7821149}"/>
    <cellStyle name="style1614584631539" xfId="282" xr:uid="{5F2CD130-1175-465E-9A16-227A49A902F0}"/>
    <cellStyle name="style1614584631602" xfId="277" xr:uid="{4949C0A7-3ED5-4EF7-A138-1351A3E0A383}"/>
    <cellStyle name="style1614584631649" xfId="278" xr:uid="{51BE1433-1143-40A7-86ED-61F2B241751E}"/>
    <cellStyle name="style1614584631696" xfId="280" xr:uid="{8139837A-91A4-48B8-82B3-D677AB5BBB6B}"/>
    <cellStyle name="style1614584631758" xfId="281" xr:uid="{E8063B1B-09B0-4B15-8E65-9DFAD7EC7F75}"/>
    <cellStyle name="style1614584631821" xfId="283" xr:uid="{5E20F4E3-C5B8-4602-81A0-64BBEA89D7BA}"/>
    <cellStyle name="style1614584631852" xfId="284" xr:uid="{14A048D5-36C4-4A60-9739-E51620D3A9C0}"/>
    <cellStyle name="style1614586305767" xfId="285" xr:uid="{4010F534-2B8D-4736-929C-1E68AFEABC78}"/>
    <cellStyle name="style1614586305813" xfId="288" xr:uid="{EC032A35-77AC-48CB-846E-80B7A8B628AC}"/>
    <cellStyle name="style1614586305860" xfId="291" xr:uid="{D74E81BE-D6DA-42F3-945B-378365743E0B}"/>
    <cellStyle name="style1614586305907" xfId="286" xr:uid="{548E0E39-3D9A-40D9-9B2A-EF2C5F0ADCAD}"/>
    <cellStyle name="style1614586305954" xfId="287" xr:uid="{5AFCD6EB-870E-4B41-92A9-BEDE27CB2B26}"/>
    <cellStyle name="style1614586306001" xfId="289" xr:uid="{0FB57505-3D72-41BE-9EEA-F22CA9DFFC55}"/>
    <cellStyle name="style1614586306048" xfId="290" xr:uid="{AEFA661D-6311-4147-8DD9-AA41348B681F}"/>
    <cellStyle name="style1614586306095" xfId="292" xr:uid="{01DAE4B2-D058-4EEF-834E-5749A9AB779E}"/>
    <cellStyle name="style1614586306141" xfId="293" xr:uid="{F3E0DEFF-9C19-4578-92D7-2AA57C41A484}"/>
    <cellStyle name="style1614587977329" xfId="294" xr:uid="{CA476BA1-3123-48AD-996F-4B14F860D868}"/>
    <cellStyle name="style1614587977376" xfId="297" xr:uid="{2D4C60AE-E80C-41BA-935A-8F5E7C952842}"/>
    <cellStyle name="style1614587977439" xfId="300" xr:uid="{1417911E-00C3-4887-93F5-508DD8B67AC3}"/>
    <cellStyle name="style1614587977486" xfId="295" xr:uid="{3FD1568B-6645-4622-93B6-6684866569F9}"/>
    <cellStyle name="style1614587977533" xfId="296" xr:uid="{39BAFA27-200B-4AF2-86FC-3EE1AF19E8FB}"/>
    <cellStyle name="style1614587977579" xfId="298" xr:uid="{3866F3DC-AF2D-4C42-88AA-699ABF326B45}"/>
    <cellStyle name="style1614587977626" xfId="299" xr:uid="{3045F1D4-82F4-4A6C-B9FD-9432333FDCC4}"/>
    <cellStyle name="style1614587977673" xfId="301" xr:uid="{BEEF6D1F-4C05-4603-9496-EE0A40A1F0CE}"/>
    <cellStyle name="style1614587977720" xfId="302" xr:uid="{4AF04111-C3B4-43F3-90F1-F9EE9C12A9D9}"/>
    <cellStyle name="style1614588007874" xfId="179" xr:uid="{CF19AC0E-233E-4866-B058-2BEA82A10C58}"/>
    <cellStyle name="style1614588007905" xfId="180" xr:uid="{E045CBC8-B55D-4220-BDA8-52BBAA18264D}"/>
    <cellStyle name="style1614588007952" xfId="181" xr:uid="{DBD0F5E8-0D47-4350-B748-FCDBB7EA3FB8}"/>
    <cellStyle name="style1614588007999" xfId="182" xr:uid="{EDC9A952-F8E9-48AB-85C5-9A9301670B07}"/>
    <cellStyle name="style1614588008030" xfId="183" xr:uid="{86188364-4C35-45E7-89CD-8508C942B4B7}"/>
    <cellStyle name="style1614588008077" xfId="184" xr:uid="{1CD32426-0A2D-4645-AAED-EACD86856D82}"/>
    <cellStyle name="style1614588008139" xfId="185" xr:uid="{4FDD8A61-5A36-4DC4-8D82-8B52D60AFABE}"/>
    <cellStyle name="style1614588008171" xfId="186" xr:uid="{C212E649-AA2A-4736-83E9-618FD5CDECD2}"/>
    <cellStyle name="style1614588008218" xfId="187" xr:uid="{9F63FA0A-5253-4ABA-8420-D0D831CFD6ED}"/>
    <cellStyle name="style1614588008264" xfId="188" xr:uid="{3BA3B516-5E12-4E7F-BE4B-1F4C524B6D59}"/>
    <cellStyle name="style1614588008311" xfId="189" xr:uid="{2ADABE05-9D5A-4A08-A3B2-2D65FEB772D9}"/>
    <cellStyle name="style1614588008358" xfId="190" xr:uid="{6E5D7BEC-D98B-4009-A537-CD913FE5EDC4}"/>
    <cellStyle name="style1614588008389" xfId="191" xr:uid="{A081062B-AB10-476C-9671-15F3BC8DAD36}"/>
    <cellStyle name="style1614588008436" xfId="192" xr:uid="{3E884C67-A13E-48EF-9AAE-28DDE70E153A}"/>
    <cellStyle name="style1614588036983" xfId="193" xr:uid="{FAA751BF-8497-4849-95AB-05492215DF03}"/>
    <cellStyle name="style1614588037045" xfId="198" xr:uid="{0505C12A-92D4-45E2-B6B4-982B9A56467C}"/>
    <cellStyle name="style1614588037108" xfId="204" xr:uid="{40FEDF3A-270E-4D03-8C8D-8404DD405345}"/>
    <cellStyle name="style1614588037155" xfId="194" xr:uid="{AE141F1E-8B23-4AF2-952E-6E23946C7B1D}"/>
    <cellStyle name="style1614588037201" xfId="195" xr:uid="{5892CA94-3BCD-4CB5-A575-D2A559537276}"/>
    <cellStyle name="style1614588037248" xfId="196" xr:uid="{37CEA2F9-AD88-49E1-959A-C959C772CBBE}"/>
    <cellStyle name="style1614588037295" xfId="197" xr:uid="{AE0AF48D-0F28-45FC-8ACD-5738D294A4AC}"/>
    <cellStyle name="style1614588037342" xfId="199" xr:uid="{61B37B8C-CBD3-4E1E-B295-150B85753758}"/>
    <cellStyle name="style1614588037389" xfId="200" xr:uid="{FFCF8429-1D0A-44E3-A1BD-E78C19C3B177}"/>
    <cellStyle name="style1614588037451" xfId="201" xr:uid="{BCCA64E8-7BA2-44ED-81BE-3EA70BFCF1C3}"/>
    <cellStyle name="style1614588037514" xfId="202" xr:uid="{1606FB14-2D7B-4AD3-B0F4-1A947F96C9A5}"/>
    <cellStyle name="style1614588037561" xfId="203" xr:uid="{B99C42A8-C55D-4B3C-A219-4B1E044E5780}"/>
    <cellStyle name="style1614588037623" xfId="205" xr:uid="{3A45A80E-3AB6-4CFA-A120-171527359957}"/>
    <cellStyle name="style1614588037670" xfId="206" xr:uid="{ED0EEA0B-E3D9-4372-A35F-E11604A08CDE}"/>
    <cellStyle name="style1614588037717" xfId="207" xr:uid="{544D25EF-BCC1-4C75-8AE5-BAD4D4656D4F}"/>
    <cellStyle name="style1614588037764" xfId="208" xr:uid="{F92E5A3B-332E-4A5D-83FB-54ECFC43FF82}"/>
    <cellStyle name="style1614588037795" xfId="209" xr:uid="{C3D3465D-8008-4C31-B603-E83461082F71}"/>
    <cellStyle name="style1614590579373" xfId="210" xr:uid="{E0BC6A87-B9B7-4EE0-B5A6-EA03AA65BC1E}"/>
    <cellStyle name="style1614590579436" xfId="215" xr:uid="{F0AEEACC-CDE1-420E-9367-C61BC8C13FE9}"/>
    <cellStyle name="style1614590579498" xfId="222" xr:uid="{39E69D45-B57E-465D-8494-B78FBF34520B}"/>
    <cellStyle name="style1614590579545" xfId="211" xr:uid="{3BB182E6-1BB8-4570-BF68-C3579C5916CB}"/>
    <cellStyle name="style1614590579592" xfId="212" xr:uid="{4AAB077D-D07F-47EC-AB34-E427A4197687}"/>
    <cellStyle name="style1614590579639" xfId="213" xr:uid="{BC8AD46C-B902-438F-BBD3-86AF80D4D4B7}"/>
    <cellStyle name="style1614590579686" xfId="214" xr:uid="{A5B68A34-C22D-4609-8CC7-6FEDADEF1D4E}"/>
    <cellStyle name="style1614590579717" xfId="216" xr:uid="{660D7952-5A73-4674-B9A5-B7BD99B0C4C3}"/>
    <cellStyle name="style1614590579764" xfId="217" xr:uid="{1C429221-ACEA-4016-B05B-E61DAC8A1949}"/>
    <cellStyle name="style1614590579811" xfId="218" xr:uid="{01FF950E-3155-418D-B530-8B7611A0F50E}"/>
    <cellStyle name="style1614590579858" xfId="219" xr:uid="{6ED8E0A5-8538-4A8C-86E4-6DBDD2D56292}"/>
    <cellStyle name="style1614590579889" xfId="220" xr:uid="{609F791C-2788-44B4-B087-EEF72DFE0486}"/>
    <cellStyle name="style1614590579936" xfId="221" xr:uid="{D1D1586C-E8E3-46E4-B7B7-31504893D68C}"/>
    <cellStyle name="style1614590580014" xfId="223" xr:uid="{7D85002C-8279-4FCB-AAB1-AEA249177B28}"/>
    <cellStyle name="style1614590580061" xfId="224" xr:uid="{182C5FCE-2D76-41D2-81ED-B4808B727605}"/>
    <cellStyle name="style1614590580108" xfId="225" xr:uid="{59305271-221A-4D95-A55E-42C124B42423}"/>
    <cellStyle name="style1614590580154" xfId="226" xr:uid="{C8F3C2F7-8B87-4A11-94E3-2516FA21935A}"/>
    <cellStyle name="style1614590667545" xfId="243" xr:uid="{3C6B3488-B3F3-44CB-8EF7-89B4B89AFA17}"/>
    <cellStyle name="style1614590667576" xfId="244" xr:uid="{18EE229D-29E5-4768-A956-EB48F4DDB3D2}"/>
    <cellStyle name="style1614590667640" xfId="245" xr:uid="{E9137131-CC3D-44C7-88C9-C44C635AF220}"/>
    <cellStyle name="style1614590667687" xfId="246" xr:uid="{4BEDFFF6-7951-4086-AC72-B68001909451}"/>
    <cellStyle name="style1614590667734" xfId="247" xr:uid="{1C6DF702-E436-499C-8EA2-7B4EB8EAF718}"/>
    <cellStyle name="style1614590667765" xfId="248" xr:uid="{4ABB0B0E-BC9B-4667-B5F9-7CCFD025D1A7}"/>
    <cellStyle name="style1614590667812" xfId="249" xr:uid="{801AF3E2-DA2B-459D-BF1F-1E293BFBDA81}"/>
    <cellStyle name="style1614590667874" xfId="250" xr:uid="{5965287F-C88F-4B17-9627-EB86FD3E82E2}"/>
    <cellStyle name="style1614590667921" xfId="251" xr:uid="{12ECB98E-6CAA-4062-9215-DA5E2ED28C4D}"/>
    <cellStyle name="style1614590667968" xfId="252" xr:uid="{79CA1AD0-EA4E-458F-9233-24A4CCC31C59}"/>
    <cellStyle name="style1614590667999" xfId="253" xr:uid="{0348623A-2E2E-451F-985A-A437D7358394}"/>
    <cellStyle name="style1614590668062" xfId="254" xr:uid="{BAD55E95-00F5-49D1-BCC7-3B3434506B5D}"/>
    <cellStyle name="style1614590668108" xfId="255" xr:uid="{81858FB4-DFD0-4023-B944-E018DB89A8C7}"/>
    <cellStyle name="style1614590668171" xfId="256" xr:uid="{4E9B701B-598C-442E-8B46-A287B5174477}"/>
    <cellStyle name="style1614590668218" xfId="257" xr:uid="{662038BD-3285-4ED4-B1A4-7C19701AE5C7}"/>
    <cellStyle name="style1614590668265" xfId="258" xr:uid="{EDBAAC69-B736-4520-9650-ED04ADFD1445}"/>
    <cellStyle name="style1614590693044" xfId="259" xr:uid="{258403FB-A550-46F6-B8F7-1C44F35720FC}"/>
    <cellStyle name="style1614590693091" xfId="260" xr:uid="{40166D51-A570-4974-A16D-F612C4D03489}"/>
    <cellStyle name="style1614590693138" xfId="261" xr:uid="{D3C97AD8-EA17-4709-947D-DC65C2A0AAD4}"/>
    <cellStyle name="style1614590693185" xfId="262" xr:uid="{CFA25D29-8358-4C9E-92C7-EC89781C5A0B}"/>
    <cellStyle name="style1614590693232" xfId="263" xr:uid="{1FD921CF-C146-401B-8448-26B72B11A0F8}"/>
    <cellStyle name="style1614590693279" xfId="264" xr:uid="{48725C8D-662A-4B8A-B0B6-DBD25DE69B28}"/>
    <cellStyle name="style1614590693310" xfId="265" xr:uid="{4ADA15DD-3162-4B0C-8630-0D03DE5A9B6C}"/>
    <cellStyle name="style1614590693372" xfId="266" xr:uid="{D7187FA9-4BF5-4AAE-918B-AE6D635CB8B1}"/>
    <cellStyle name="style1614590693419" xfId="267" xr:uid="{E1218478-0FA5-4627-9C32-289D38BAE5C6}"/>
    <cellStyle name="style1614590693450" xfId="268" xr:uid="{2B836D9D-0CAB-4CD5-8F28-262B24B52C61}"/>
    <cellStyle name="style1614590693497" xfId="269" xr:uid="{7F1C7FB9-F240-419A-A3BE-5D1FE5D48469}"/>
    <cellStyle name="style1614590693560" xfId="270" xr:uid="{F45A4AE0-888D-41A3-BEBA-655DC553D29C}"/>
    <cellStyle name="style1614590693607" xfId="271" xr:uid="{48768BE1-EECB-4DA4-A5F2-D636F830D718}"/>
    <cellStyle name="style1614590693653" xfId="272" xr:uid="{B8792D4E-9C88-4D51-BB32-AEFC409B5A84}"/>
    <cellStyle name="style1614590693700" xfId="273" xr:uid="{1DB000CE-531B-4989-8037-1532BBC07F05}"/>
    <cellStyle name="style1614590693747" xfId="274" xr:uid="{DC31DC76-ABEB-4680-B7BC-2E59AB6CC788}"/>
    <cellStyle name="style1614590693794" xfId="275" xr:uid="{6FF66D5D-674A-4A4E-BBD7-356845247E34}"/>
    <cellStyle name="style1614611469323" xfId="231" xr:uid="{21C1DD7A-23DB-4FAB-9EFA-02AEEA8AA579}"/>
    <cellStyle name="style1614611469604" xfId="237" xr:uid="{5EF3AFEE-6A0C-443A-9A84-17728D03CFCE}"/>
    <cellStyle name="style1614611469681" xfId="227" xr:uid="{737999E3-AB14-4D10-85EB-75C54C79775B}"/>
    <cellStyle name="style1614611469740" xfId="228" xr:uid="{85EFFAF7-D9C8-4FBB-BCCE-E2C1FBA5FE29}"/>
    <cellStyle name="style1614611469798" xfId="232" xr:uid="{BF5C6FF2-9194-45FE-A5CE-8826D5525498}"/>
    <cellStyle name="style1614611469853" xfId="233" xr:uid="{B8C03130-11D1-49F9-B3A2-7FA48E83A847}"/>
    <cellStyle name="style1614611469944" xfId="238" xr:uid="{24AE768F-73F9-47F1-8E66-7CBB15F3D891}"/>
    <cellStyle name="style1614611470010" xfId="239" xr:uid="{34114115-55FE-48D9-AE58-77C59D337D68}"/>
    <cellStyle name="style1614611473416" xfId="234" xr:uid="{768F734C-EC89-47A2-88A4-956010880C73}"/>
    <cellStyle name="style1614611473655" xfId="240" xr:uid="{16DCEF82-4B02-4C03-98EF-584EBC5E1164}"/>
    <cellStyle name="style1614611473718" xfId="229" xr:uid="{3D88631C-5457-41C8-A497-807F15E3A6FC}"/>
    <cellStyle name="style1614611473773" xfId="230" xr:uid="{48C7B0A9-DBC0-4B45-AE4A-89EF145D7036}"/>
    <cellStyle name="style1614611473832" xfId="235" xr:uid="{5F0CD17F-6FD2-44E7-B7BD-97621E17F97B}"/>
    <cellStyle name="style1614611473889" xfId="236" xr:uid="{FE2306A5-6A35-4936-872D-1B8399577566}"/>
    <cellStyle name="style1614611473970" xfId="241" xr:uid="{CAA61946-190D-4640-A791-385A00FA0ED8}"/>
    <cellStyle name="style1614611474023" xfId="242" xr:uid="{3B014181-DF13-46C6-BD5C-14876DE10A9E}"/>
    <cellStyle name="style1617271139491" xfId="303" xr:uid="{EEA84E10-C0F5-4E24-ACA8-EF2D05C7A1BC}"/>
    <cellStyle name="style1617271139538" xfId="304" xr:uid="{276F7C28-27A4-4D31-B95C-A64977CB9E63}"/>
    <cellStyle name="style1617271139600" xfId="305" xr:uid="{BDEF4E65-28F0-419D-B43C-88E43041F659}"/>
    <cellStyle name="style1617271139647" xfId="306" xr:uid="{E0DF18DB-691F-4ED5-B302-A40C47D6E62C}"/>
    <cellStyle name="style1617271139694" xfId="307" xr:uid="{1A141389-BDC1-4FE8-9A34-B6D5D15FF2F4}"/>
    <cellStyle name="style1622549576738" xfId="308" xr:uid="{32CDBFE1-1F65-4CEC-BB7A-65F52F01D826}"/>
    <cellStyle name="style1622549576800" xfId="309" xr:uid="{328F22ED-7FC3-4110-B2EF-6E2FF2434492}"/>
    <cellStyle name="style1622549576878" xfId="310" xr:uid="{60FF19AF-1F86-4920-A897-D1600F0904EF}"/>
    <cellStyle name="style1622549576941" xfId="311" xr:uid="{90AF8C85-2624-4AD4-A648-74AA68FE6819}"/>
    <cellStyle name="style1622549577003" xfId="312" xr:uid="{39584BCE-3272-4EA1-ADFF-20A69F008C85}"/>
    <cellStyle name="style1630482471370" xfId="314" xr:uid="{0065DBD1-E372-46AD-A9E9-9579BED1306C}"/>
    <cellStyle name="style1630482471433" xfId="315" xr:uid="{02B378B4-19D0-4E0F-A041-75B6722EF9EC}"/>
    <cellStyle name="style1630482471511" xfId="316" xr:uid="{19640F3A-ED7F-4733-8855-2F6E97969003}"/>
    <cellStyle name="style1630482471573" xfId="317" xr:uid="{28E1C8CD-6524-46BA-9936-AB23579179CD}"/>
    <cellStyle name="style1630482471636" xfId="318" xr:uid="{6A8AA000-6F33-480F-9549-0A0BB79359CD}"/>
    <cellStyle name="style1633077415688" xfId="319" xr:uid="{098F5014-1370-4F56-BB67-4E0DCFF09902}"/>
    <cellStyle name="style1633077415750" xfId="320" xr:uid="{7F8B2E77-998C-4BB2-B449-602CA2A5DE18}"/>
    <cellStyle name="style1633077415844" xfId="321" xr:uid="{4BD9BBE3-2F78-404E-804B-19BC8654C1AB}"/>
    <cellStyle name="style1633077415906" xfId="322" xr:uid="{D6A27342-8516-4C15-B83C-7B9A93770962}"/>
    <cellStyle name="style1633077415969" xfId="323" xr:uid="{B06F2E07-02B4-48B0-B6F3-5CEB305A8F31}"/>
    <cellStyle name="style1633079672885" xfId="473" xr:uid="{C233A06D-DE5C-4022-96D9-5E49467F8BE2}"/>
    <cellStyle name="style1633079672978" xfId="482" xr:uid="{A29FB042-EC43-4DFA-8CB2-86B5B846BFA1}"/>
    <cellStyle name="style1633079673056" xfId="492" xr:uid="{CB506BE0-C262-49A8-95DC-A0F13AE0F721}"/>
    <cellStyle name="style1633079673150" xfId="474" xr:uid="{35AFFECD-B802-47C3-B8E2-8B3FDDB4F47D}"/>
    <cellStyle name="style1633079673213" xfId="475" xr:uid="{D4451A9B-09BD-46FC-90EB-F47A3517E472}"/>
    <cellStyle name="style1633079673275" xfId="483" xr:uid="{B4B95898-0A29-406D-9C2F-315D1BF09A65}"/>
    <cellStyle name="style1633079673353" xfId="484" xr:uid="{F34CD1F7-F074-489E-96B0-4AA43788F73B}"/>
    <cellStyle name="style1633079673447" xfId="493" xr:uid="{46BB8A8A-1E21-40B9-8867-B26FCC548039}"/>
    <cellStyle name="style1633079673510" xfId="494" xr:uid="{1771D2CB-2A7F-4A7E-8C3D-465D009FEE60}"/>
    <cellStyle name="style1633081919109" xfId="476" xr:uid="{965F4B23-FECF-4FD6-8995-2442904DC1E3}"/>
    <cellStyle name="style1633081919187" xfId="485" xr:uid="{74982C0D-30D7-443F-9232-F3FC3CB54BDA}"/>
    <cellStyle name="style1633081919265" xfId="495" xr:uid="{28B1CEDB-A4A4-4A43-8B19-C1EC955592D4}"/>
    <cellStyle name="style1633081919328" xfId="477" xr:uid="{590D0984-6268-4E0A-9E41-AA0BDEBD5FFF}"/>
    <cellStyle name="style1633081919390" xfId="478" xr:uid="{7C7F6B6C-99B6-4C26-B469-3DA0A7215689}"/>
    <cellStyle name="style1633081919453" xfId="486" xr:uid="{0C3D7054-5C0C-4537-9D65-D9A5F5B6A25D}"/>
    <cellStyle name="style1633081919531" xfId="487" xr:uid="{5544DDB9-7DC0-4932-8DC6-CB841BE842A4}"/>
    <cellStyle name="style1633081919609" xfId="496" xr:uid="{0887895E-2E6D-4E06-B448-C50551AB33EF}"/>
    <cellStyle name="style1633081919672" xfId="497" xr:uid="{252812D5-7C48-4A37-9614-7BEAAAE01DFB}"/>
    <cellStyle name="style1633084160714" xfId="479" xr:uid="{7E559BB2-44EC-4C2E-B205-85D704C6B27A}"/>
    <cellStyle name="style1633084160792" xfId="488" xr:uid="{02AA0191-C1A4-4F0E-9EE9-35FC16914C48}"/>
    <cellStyle name="style1633084160870" xfId="498" xr:uid="{52C9E4F5-7B1E-45F4-A463-973AC3FD144A}"/>
    <cellStyle name="style1633084160948" xfId="480" xr:uid="{C011317B-B305-401C-9767-47D6173C6244}"/>
    <cellStyle name="style1633084161011" xfId="481" xr:uid="{B6827EDD-8BE2-4C30-93D9-1E6BB0D88AC5}"/>
    <cellStyle name="style1633084161073" xfId="489" xr:uid="{9003B5F9-1B73-4447-A438-8FA4B7023C86}"/>
    <cellStyle name="style1633084161151" xfId="490" xr:uid="{A15129FD-187D-4BEB-A929-DD1D07A5E47A}"/>
    <cellStyle name="style1633084161229" xfId="491" xr:uid="{37ECADA5-8727-4E7A-819D-240E9F519880}"/>
    <cellStyle name="style1633084161292" xfId="499" xr:uid="{C51F3EA3-B1E2-4139-BFC5-5C571F86A0BD}"/>
    <cellStyle name="style1633084161354" xfId="500" xr:uid="{F3C02E0C-ACA0-491E-AE40-8EEBB01AD12E}"/>
    <cellStyle name="style1635774019713" xfId="324" xr:uid="{C3141E2D-0177-44D3-BABF-319221F917D3}"/>
    <cellStyle name="style1635774019745" xfId="325" xr:uid="{A76C84BB-1EC5-46E7-AB49-31E1A65EE09E}"/>
    <cellStyle name="style1635774019807" xfId="326" xr:uid="{8A05D120-3756-4D0C-8A12-399A859A523B}"/>
    <cellStyle name="style1635774019838" xfId="327" xr:uid="{1B4289E2-0971-4E9D-9BAC-E30837F6E339}"/>
    <cellStyle name="style1635774019885" xfId="328" xr:uid="{AF75EF5E-2209-4EEA-8979-AD2A1959841A}"/>
    <cellStyle name="style1635774019916" xfId="329" xr:uid="{63E2D822-D6F6-4FE6-9E9A-8175E67BE8C8}"/>
    <cellStyle name="style1635774019963" xfId="330" xr:uid="{92BBB2E9-3D56-4B30-99BB-6FF1589746BC}"/>
    <cellStyle name="style1635774020010" xfId="331" xr:uid="{1F5D54FD-284F-4DEB-9018-57C0464F28AA}"/>
    <cellStyle name="style1635774020057" xfId="332" xr:uid="{83F4FF00-32BD-4F84-A981-4612BE3ACD43}"/>
    <cellStyle name="style1635774020104" xfId="333" xr:uid="{1789AA8E-2545-4264-8E9C-FB25B8793252}"/>
    <cellStyle name="style1635774020135" xfId="334" xr:uid="{105AE98C-8EBB-4715-A342-A06B8199D7FB}"/>
    <cellStyle name="style1635774020182" xfId="335" xr:uid="{B52E5631-63A3-45BA-80DC-15DCDBA99C14}"/>
    <cellStyle name="style1635774020229" xfId="336" xr:uid="{3C8E8958-798D-4774-B4E9-64176C1702F2}"/>
    <cellStyle name="style1635774020276" xfId="337" xr:uid="{675EE0B4-594A-4573-AA1D-1FB90A12461F}"/>
    <cellStyle name="style1635774020323" xfId="338" xr:uid="{2C0549BB-7F78-4239-8379-FDA62545AB9C}"/>
    <cellStyle name="style1635774020370" xfId="339" xr:uid="{7E77240A-73B6-42AC-8B35-CEF3367926C2}"/>
    <cellStyle name="style1635774020401" xfId="340" xr:uid="{CC70306D-C44B-4D41-A2D4-2F6034B3A94C}"/>
    <cellStyle name="style1635774676822" xfId="341" xr:uid="{C2A5AC6B-6BE1-4C97-BA48-0BC66374380F}"/>
    <cellStyle name="style1635774676869" xfId="342" xr:uid="{67AE9856-5876-4F97-A29C-BD82CA82396A}"/>
    <cellStyle name="style1635774676915" xfId="343" xr:uid="{158E36B3-6ECD-488E-A6D4-DB06747EFC67}"/>
    <cellStyle name="style1635774676962" xfId="344" xr:uid="{9EA9CCC5-4F2C-4E14-9091-C740CE76AC0B}"/>
    <cellStyle name="style1635774677009" xfId="345" xr:uid="{D5ADAF2F-4D36-44D3-8948-5DE354B00C2A}"/>
    <cellStyle name="style1635774677040" xfId="346" xr:uid="{FA541357-CF60-4975-83DD-5D3ED7E740C4}"/>
    <cellStyle name="style1635774677087" xfId="347" xr:uid="{9CE752B9-F6B9-4D67-9985-76B842C061D0}"/>
    <cellStyle name="style1635774677134" xfId="348" xr:uid="{0BD5AFC3-C28C-4236-9530-A3C5E32F1E72}"/>
    <cellStyle name="style1635774677181" xfId="349" xr:uid="{F8016848-E189-4720-B2E8-8B8A51C77656}"/>
    <cellStyle name="style1635774677212" xfId="350" xr:uid="{797471D3-292C-48A6-B7FB-EB34653BB1BE}"/>
    <cellStyle name="style1635777186421" xfId="446" xr:uid="{8BDD40C7-5633-4D4C-BE3F-D28437BAA641}"/>
    <cellStyle name="style1635777186468" xfId="449" xr:uid="{CE4A6773-4AD9-49E9-A81D-B091E52C77A7}"/>
    <cellStyle name="style1635777186531" xfId="452" xr:uid="{F8024515-21C4-47AB-B457-F9F8EBDD7A66}"/>
    <cellStyle name="style1635777186577" xfId="447" xr:uid="{626C853B-474A-4FA5-AA37-97FE8292527B}"/>
    <cellStyle name="style1635777186624" xfId="448" xr:uid="{F294E56E-7BBD-49D1-9CFF-D077E4858E40}"/>
    <cellStyle name="style1635777186671" xfId="450" xr:uid="{71D6F690-3182-42E1-B052-6A3C260DE062}"/>
    <cellStyle name="style1635777186718" xfId="451" xr:uid="{B184F651-B4D1-444E-B846-2DEFA77DF2AD}"/>
    <cellStyle name="style1635777186781" xfId="453" xr:uid="{CB77845C-4676-4EFA-8351-40891914B3C4}"/>
    <cellStyle name="style1635777186812" xfId="454" xr:uid="{6C8AF531-580A-432B-A00D-4FE1E6EA204C}"/>
    <cellStyle name="style1635779685007" xfId="470" xr:uid="{651A02C0-D9BA-4234-AE4F-44233CAE2922}"/>
    <cellStyle name="style1635779685054" xfId="455" xr:uid="{E9ACB526-347C-4053-85BE-4362CA75700B}"/>
    <cellStyle name="style1635779685101" xfId="458" xr:uid="{D425AEFA-2E61-4CA4-9278-6C1A8942A205}"/>
    <cellStyle name="style1635779685148" xfId="471" xr:uid="{F0C53A2E-6CB1-47F7-BA9F-75866C572A37}"/>
    <cellStyle name="style1635779685195" xfId="472" xr:uid="{32105012-D1C3-43DA-B4E4-D25AF9EB20CD}"/>
    <cellStyle name="style1635779685226" xfId="456" xr:uid="{745002B8-54FC-4A64-9C7D-B8193666FFA2}"/>
    <cellStyle name="style1635779685273" xfId="457" xr:uid="{1B3893ED-8A23-488F-98C3-38B05004DF93}"/>
    <cellStyle name="style1635779685320" xfId="459" xr:uid="{C581CF0A-7C5B-4E29-9E33-C0ECAE40381E}"/>
    <cellStyle name="style1635779685366" xfId="460" xr:uid="{A709FA1F-59B8-405B-95E1-A4C93FBA98EE}"/>
    <cellStyle name="style1635782184645" xfId="461" xr:uid="{58166281-E658-44E2-B2D0-A90DE8D26CC4}"/>
    <cellStyle name="style1635782184692" xfId="464" xr:uid="{CA188B1D-0587-40A2-988E-F1419E873383}"/>
    <cellStyle name="style1635782184739" xfId="467" xr:uid="{8D8F5936-3583-4E4B-A326-D23B3DACA47D}"/>
    <cellStyle name="style1635782184786" xfId="462" xr:uid="{8A3AE4AA-D319-47A5-A84F-554A5E3DCB0D}"/>
    <cellStyle name="style1635782184833" xfId="463" xr:uid="{248D91D3-BA1F-4561-A159-EF7351850767}"/>
    <cellStyle name="style1635782184864" xfId="465" xr:uid="{2A2577CC-55CE-459A-B95B-92E48D53B19E}"/>
    <cellStyle name="style1635782184926" xfId="466" xr:uid="{7B3D5FCB-59D7-4E16-9808-82C2EEFC0A58}"/>
    <cellStyle name="style1635782184973" xfId="468" xr:uid="{78EAD086-D300-4D26-B120-418791150249}"/>
    <cellStyle name="style1635782185004" xfId="469" xr:uid="{963B5F76-67A8-4728-8823-8A9BD6A5D992}"/>
    <cellStyle name="style1635782351759" xfId="351" xr:uid="{FF650DD0-4F3C-4615-AE07-52BA6DE0AF0D}"/>
    <cellStyle name="style1635782351806" xfId="352" xr:uid="{FE90AB3F-5FC5-46FA-A0CC-69B259546048}"/>
    <cellStyle name="style1635782351837" xfId="353" xr:uid="{BAFA4824-9D08-4B4A-A702-A88E957A80A4}"/>
    <cellStyle name="style1635782351884" xfId="354" xr:uid="{995894B6-1247-4863-A32B-220332B82683}"/>
    <cellStyle name="style1635782351931" xfId="355" xr:uid="{010CB6D9-1A4C-4B73-889A-1788BF71E91B}"/>
    <cellStyle name="style1635782351962" xfId="356" xr:uid="{04B74553-7AE8-4C05-854C-0BEF1E1AA035}"/>
    <cellStyle name="style1635782352025" xfId="357" xr:uid="{E71A070B-21F3-4EE2-8AA4-BA9ABAACCC3E}"/>
    <cellStyle name="style1635782352056" xfId="358" xr:uid="{095FFECD-E0AA-40CC-9DC6-CCD7037DD478}"/>
    <cellStyle name="style1635782352103" xfId="359" xr:uid="{BF94EC36-F179-4F56-8DC9-664442A97929}"/>
    <cellStyle name="style1635782352165" xfId="360" xr:uid="{54160B2E-8BB3-4B72-9A85-A4D24D6AA893}"/>
    <cellStyle name="style1635782352197" xfId="361" xr:uid="{3A472905-105C-4F37-82A5-08ABDF6FFE5B}"/>
    <cellStyle name="style1635782352243" xfId="362" xr:uid="{993923A9-C856-4A2E-93E0-36CF70D3D50C}"/>
    <cellStyle name="style1635782352275" xfId="363" xr:uid="{BE721500-D9CE-4B55-872B-1D4EBB898646}"/>
    <cellStyle name="style1635782352322" xfId="364" xr:uid="{CDD3294C-9A55-4A90-AEBD-889BF369C673}"/>
    <cellStyle name="style1635782708548" xfId="369" xr:uid="{B7C19CA3-2CC9-4E0E-BD76-30A324446EEE}"/>
    <cellStyle name="style1635782708611" xfId="375" xr:uid="{12029C59-357F-4E70-BA2F-36672F005967}"/>
    <cellStyle name="style1635782708658" xfId="365" xr:uid="{ADF12214-824D-4C09-B83A-0283E54153AE}"/>
    <cellStyle name="style1635782708704" xfId="366" xr:uid="{22CA64FA-F0E4-499D-9848-675EEF9E9734}"/>
    <cellStyle name="style1635782708751" xfId="367" xr:uid="{31264043-D1ED-481F-B60F-444DBAC0C95D}"/>
    <cellStyle name="style1635782708783" xfId="368" xr:uid="{F3C44A3A-B53E-4F8E-AD0F-AFDE65344F88}"/>
    <cellStyle name="style1635782708829" xfId="370" xr:uid="{C51E1385-27BD-4AEB-889F-6EA708073B1B}"/>
    <cellStyle name="style1635782708876" xfId="371" xr:uid="{CB457433-8D15-4DC0-901A-B5B5543BB45B}"/>
    <cellStyle name="style1635782708939" xfId="372" xr:uid="{E08C195E-696D-404D-A261-4033CA864919}"/>
    <cellStyle name="style1635782708986" xfId="373" xr:uid="{30B6F5D7-E61C-469B-BE78-B889CE580197}"/>
    <cellStyle name="style1635782709032" xfId="374" xr:uid="{CDCE10D5-594A-45FC-9F8B-FFA9E394419B}"/>
    <cellStyle name="style1635782709126" xfId="376" xr:uid="{0974F392-6EAF-4811-B7EC-5F39D0B44DB7}"/>
    <cellStyle name="style1635782709173" xfId="377" xr:uid="{7A4E377A-B6AE-42B1-9CFE-649CE4465181}"/>
    <cellStyle name="style1635782709204" xfId="378" xr:uid="{3BE51170-B7AF-4C1F-A0AA-FA9668632795}"/>
    <cellStyle name="style1635782709251" xfId="379" xr:uid="{D5359C1D-2E32-4C9E-A0AA-3CB1FBB271F1}"/>
    <cellStyle name="style1635782709298" xfId="380" xr:uid="{E3C25F80-813C-4432-89C3-3E1085FAB7C3}"/>
    <cellStyle name="style1635783056431" xfId="385" xr:uid="{30CB3C33-1933-4D52-BA52-0BCFF3D6BA49}"/>
    <cellStyle name="style1635783056494" xfId="392" xr:uid="{D89101EB-1E02-4BDB-8782-4F6B47949AB5}"/>
    <cellStyle name="style1635783056541" xfId="381" xr:uid="{2B2B49C0-77D7-459D-9991-BFD5C12D786F}"/>
    <cellStyle name="style1635783056588" xfId="382" xr:uid="{0A48CE1A-0392-4FAD-A133-7D1482D4421E}"/>
    <cellStyle name="style1635783056635" xfId="383" xr:uid="{FF6151E3-C535-4DFC-AD50-B384EA8D3B45}"/>
    <cellStyle name="style1635783056666" xfId="384" xr:uid="{57712F58-801A-49D8-846D-95F90484E9D2}"/>
    <cellStyle name="style1635783056713" xfId="386" xr:uid="{226834D3-3818-432B-A936-77C9A17C8B99}"/>
    <cellStyle name="style1635783056744" xfId="387" xr:uid="{1D2E5596-FB4A-4387-B79A-3941D7CC7CF8}"/>
    <cellStyle name="style1635783056791" xfId="388" xr:uid="{B224955E-14CB-4A51-AF5E-41883DF74225}"/>
    <cellStyle name="style1635783056838" xfId="389" xr:uid="{2E4C04D8-6EE3-4CF4-8660-6C07D005418C}"/>
    <cellStyle name="style1635783056869" xfId="390" xr:uid="{09D1D588-AC51-4C38-B730-1DDBEFCF901A}"/>
    <cellStyle name="style1635783056916" xfId="391" xr:uid="{70A1D8FC-6140-4EE9-89B6-02D606BB4202}"/>
    <cellStyle name="style1635783057010" xfId="393" xr:uid="{1B2BFF3E-9F4A-45A4-86F8-C7793B465519}"/>
    <cellStyle name="style1635783057056" xfId="394" xr:uid="{4B2BBA2F-DFA7-40C5-A3DC-9300062CD156}"/>
    <cellStyle name="style1635783057103" xfId="395" xr:uid="{05071D55-DE9B-410E-841B-ADFC56E94F7B}"/>
    <cellStyle name="style1635783057134" xfId="396" xr:uid="{CCB35AAB-BBFE-4057-A218-D7CEE718F632}"/>
    <cellStyle name="style1635783293369" xfId="399" xr:uid="{D74B6952-8532-4E54-84EC-E346A7ECABE1}"/>
    <cellStyle name="style1635783293541" xfId="404" xr:uid="{E608DB59-1052-4586-A318-041D810AC620}"/>
    <cellStyle name="style1635783293603" xfId="397" xr:uid="{3132D2B3-7F48-4CCA-8ED3-7D577F0B56C4}"/>
    <cellStyle name="style1635783293634" xfId="398" xr:uid="{C6888830-A6D0-430E-AA9C-F36EE37A2CC2}"/>
    <cellStyle name="style1635783293681" xfId="400" xr:uid="{60A7B806-32EC-40FD-9803-12107AD60597}"/>
    <cellStyle name="style1635783293713" xfId="401" xr:uid="{5A871905-4648-49F3-805F-5AD86CBA3843}"/>
    <cellStyle name="style1635783293775" xfId="402" xr:uid="{CE75FD80-DD96-48A6-9C5A-AE920DCED670}"/>
    <cellStyle name="style1635783293806" xfId="403" xr:uid="{C141AFDD-121D-4383-9FB7-5F8D921E4D39}"/>
    <cellStyle name="style1635783296494" xfId="409" xr:uid="{C5E1499C-5ED5-4E2F-8041-A63FB0855854}"/>
    <cellStyle name="style1635783296650" xfId="412" xr:uid="{D490E4E8-177B-446E-9113-8EC0A7148422}"/>
    <cellStyle name="style1635783296697" xfId="405" xr:uid="{D848860B-1262-4F18-8990-B9FDC8FF469D}"/>
    <cellStyle name="style1635783296744" xfId="406" xr:uid="{86331FBC-1166-4E0E-A4C0-01F14BEE034E}"/>
    <cellStyle name="style1635783296775" xfId="407" xr:uid="{A5388DDF-5846-4F67-8CE1-10B71E808FB7}"/>
    <cellStyle name="style1635783296822" xfId="408" xr:uid="{7C94AAF4-280D-454A-A2C8-5429C60751B1}"/>
    <cellStyle name="style1635783296869" xfId="410" xr:uid="{55DB7DE6-6AA7-4803-A56D-95D33776F5A7}"/>
    <cellStyle name="style1635783296915" xfId="411" xr:uid="{C54C1E7E-9FFD-46E7-958E-D57461FC7959}"/>
    <cellStyle name="style1635783471685" xfId="413" xr:uid="{BA85BC3A-5132-40EB-A52E-A77D6B65CBB4}"/>
    <cellStyle name="style1635783471732" xfId="414" xr:uid="{6F949D99-0181-4607-83B4-0C67EDBCEBD0}"/>
    <cellStyle name="style1635783471794" xfId="415" xr:uid="{6067FCA8-2B57-4372-9FEF-143149C2CC5B}"/>
    <cellStyle name="style1635783471826" xfId="416" xr:uid="{9EC403EA-0FF6-44FC-BBF9-263C7AB3855E}"/>
    <cellStyle name="style1635783471873" xfId="417" xr:uid="{96166DD4-FEC4-4BC9-BEF9-4F0EA9C32759}"/>
    <cellStyle name="style1635783471904" xfId="418" xr:uid="{078AE273-DAC0-4CF4-A37E-8F5571F08435}"/>
    <cellStyle name="style1635783471951" xfId="419" xr:uid="{C74E26E7-7CF2-40AB-A521-C80AF3384647}"/>
    <cellStyle name="style1635783471998" xfId="420" xr:uid="{8A5E74E5-9C3E-4E7A-8146-FE22BF5EC753}"/>
    <cellStyle name="style1635783472044" xfId="421" xr:uid="{89B9927A-4627-4635-82CB-4F8E6DC27ABA}"/>
    <cellStyle name="style1635783472076" xfId="422" xr:uid="{8F37C1F8-E328-4D58-AD8B-8AE891966051}"/>
    <cellStyle name="style1635783472123" xfId="423" xr:uid="{BC2BADD4-5E03-4929-87EA-9F7E9B55A41A}"/>
    <cellStyle name="style1635783472201" xfId="424" xr:uid="{E237C423-05D9-43DE-B4D2-1124C070E641}"/>
    <cellStyle name="style1635783472232" xfId="425" xr:uid="{9F415322-D08D-4433-8EC8-89B713554E61}"/>
    <cellStyle name="style1635783472294" xfId="426" xr:uid="{EBF4FBD9-77BE-4CA5-9B12-048A4CB92CBD}"/>
    <cellStyle name="style1635783472326" xfId="427" xr:uid="{AA7B8F8E-D553-4598-A651-82A626E5B411}"/>
    <cellStyle name="style1635783472373" xfId="428" xr:uid="{8E9192CB-0347-40FF-9D64-F9B2810F62D2}"/>
    <cellStyle name="style1635783611379" xfId="429" xr:uid="{EA216906-6186-4444-99B0-F20BF2C991A0}"/>
    <cellStyle name="style1635783611410" xfId="430" xr:uid="{3B900D7E-A504-4493-8F86-AE3D68A7392E}"/>
    <cellStyle name="style1635783611473" xfId="431" xr:uid="{7EC422B6-C493-43F8-8C6D-DBCAB4672F5F}"/>
    <cellStyle name="style1635783611504" xfId="432" xr:uid="{982A3D3A-84AA-4362-83FA-FB86602DBFEA}"/>
    <cellStyle name="style1635783611551" xfId="433" xr:uid="{8DD3BDC5-FDEF-471A-8CD7-5C500F17AEC5}"/>
    <cellStyle name="style1635783611582" xfId="434" xr:uid="{5B468794-0BD1-436E-A62B-DBC85B0CCBDC}"/>
    <cellStyle name="style1635783611629" xfId="435" xr:uid="{1D2DFDD2-2724-4585-B4DF-01547BEB6C95}"/>
    <cellStyle name="style1635783611676" xfId="436" xr:uid="{F58F4312-B3F0-4E36-A748-7D89706E0D3C}"/>
    <cellStyle name="style1635783611723" xfId="437" xr:uid="{A8FD5B14-53C1-4123-9BB3-A9D123B5DCEA}"/>
    <cellStyle name="style1635783611769" xfId="438" xr:uid="{0475E802-AA00-4582-B420-A07F5214EE2E}"/>
    <cellStyle name="style1635783611801" xfId="439" xr:uid="{75829DA0-FBF2-4274-B2CB-9D9BA9E5993E}"/>
    <cellStyle name="style1635783611879" xfId="440" xr:uid="{044A3DA9-7739-4484-B341-6A840882A4EE}"/>
    <cellStyle name="style1635783611926" xfId="441" xr:uid="{A3EEDA28-3F74-4D14-B7A2-67BCC5A0C3BD}"/>
    <cellStyle name="style1635783611988" xfId="442" xr:uid="{5D4A58F9-7228-4072-8C1D-4BA7F55CB159}"/>
    <cellStyle name="style1635783612019" xfId="443" xr:uid="{13FBD1F4-2471-4225-BDEC-B69CCF236673}"/>
    <cellStyle name="style1635783612066" xfId="444" xr:uid="{C91DF32B-92D3-476D-84E9-F437E9F748D0}"/>
    <cellStyle name="style1635783612098" xfId="445" xr:uid="{CD5B717A-BD0D-43F8-8DE0-CD3CFA9C575B}"/>
    <cellStyle name="style1638386343718" xfId="501" xr:uid="{E812481D-6A91-4036-8D34-1C9173032843}"/>
    <cellStyle name="style1638386343765" xfId="502" xr:uid="{933E6A46-2D04-4E68-B1A1-3A42277F26E5}"/>
    <cellStyle name="style1638386343812" xfId="503" xr:uid="{BD3A87FB-3855-4F7B-A565-074FB5B35FBE}"/>
    <cellStyle name="style1638386343859" xfId="504" xr:uid="{A350D6C4-4EBA-4DBD-B6A4-23FD3129CEB5}"/>
    <cellStyle name="style1638386343906" xfId="505" xr:uid="{8F0A1B95-A403-4A55-B9AC-11424C2E0FA1}"/>
    <cellStyle name="style1638386343937" xfId="506" xr:uid="{08FDD550-F9BE-4002-93B2-D46C4F9D11C9}"/>
    <cellStyle name="style1638386343984" xfId="507" xr:uid="{22EBC62C-4A70-4E43-8A40-2B4EC47EF20E}"/>
    <cellStyle name="style1638386344031" xfId="508" xr:uid="{3ED31236-9C9A-41D6-B415-36F8BFB6853F}"/>
    <cellStyle name="style1638386344078" xfId="509" xr:uid="{92B3CE4A-D11D-466F-9FBB-914B6FBBC3AE}"/>
    <cellStyle name="style1638386344124" xfId="510" xr:uid="{FE5D8CEB-56F6-4147-BB90-70BDBC09B9C0}"/>
    <cellStyle name="style1638386344156" xfId="511" xr:uid="{3208BDE7-7356-481A-A70E-EAF8ED41E51A}"/>
    <cellStyle name="style1638386344203" xfId="512" xr:uid="{45E4E1E8-F456-4059-B509-8AFE7B62DD95}"/>
    <cellStyle name="style1638386344265" xfId="513" xr:uid="{CFF94E8C-0AAD-4784-9312-B2CD6B2BF7CF}"/>
    <cellStyle name="style1638386344296" xfId="514" xr:uid="{66C0B5FD-3FE7-4CA6-97AE-5728B9218D66}"/>
    <cellStyle name="style1638386344359" xfId="515" xr:uid="{3B6453D7-7AC3-47B6-B59A-062953445883}"/>
    <cellStyle name="style1638386344390" xfId="516" xr:uid="{E0467148-9127-409B-AFE0-9E42E3943882}"/>
    <cellStyle name="style1638386344437" xfId="517" xr:uid="{B0CA5EC0-2990-4527-A3AC-A2304414716D}"/>
    <cellStyle name="style1638387000151" xfId="518" xr:uid="{11C439FD-2EEE-434F-815B-C001B8229459}"/>
    <cellStyle name="style1638387000182" xfId="519" xr:uid="{38077BB7-04B0-4C26-A74B-98F4F6B16269}"/>
    <cellStyle name="style1638387000244" xfId="520" xr:uid="{357F7689-FAD3-4F1D-ADB7-7B8623EA3B7C}"/>
    <cellStyle name="style1638387000291" xfId="521" xr:uid="{18547459-D1CD-4E99-9E8D-ABBC815AB46C}"/>
    <cellStyle name="style1638387000323" xfId="522" xr:uid="{CFF3AB58-2B9B-4569-A89F-9528529605DB}"/>
    <cellStyle name="style1638387000369" xfId="523" xr:uid="{30FDBE9C-0944-4C04-9B82-456022498824}"/>
    <cellStyle name="style1638387000401" xfId="524" xr:uid="{255298A0-A97D-4A2A-91CA-F819C667C264}"/>
    <cellStyle name="style1638387000463" xfId="525" xr:uid="{92249F79-0A0F-4A06-AD54-4DAF806054FF}"/>
    <cellStyle name="style1638387000494" xfId="526" xr:uid="{025948A2-712C-4527-804C-FFC537938929}"/>
    <cellStyle name="style1638387000541" xfId="527" xr:uid="{70D7BF41-D5ED-46AC-85B5-C49B4B35A7D8}"/>
    <cellStyle name="style1638387531628" xfId="528" xr:uid="{CAF5E7E4-932E-4291-BD87-C728F18ECD70}"/>
    <cellStyle name="style1638387531675" xfId="531" xr:uid="{AF65E6C8-82C0-4998-ACC2-2A42615E4752}"/>
    <cellStyle name="style1638387531737" xfId="534" xr:uid="{D41DD9CE-C621-4425-9617-3F4475501D05}"/>
    <cellStyle name="style1638387531784" xfId="529" xr:uid="{E4CBB53F-8D5E-45D6-95AD-1BFA7717A9DC}"/>
    <cellStyle name="style1638387531831" xfId="530" xr:uid="{F4EADF67-6D7D-4321-903F-6F7FFEBB2839}"/>
    <cellStyle name="style1638387531878" xfId="532" xr:uid="{291A5240-A5E3-467E-AB20-BAE1A3F603AE}"/>
    <cellStyle name="style1638387531925" xfId="533" xr:uid="{FFC96FC2-5F20-4C7B-BD12-181072BE558A}"/>
    <cellStyle name="style1638387531987" xfId="535" xr:uid="{A0F27569-0490-4378-89A4-028BD592DBA4}"/>
    <cellStyle name="style1638387532019" xfId="536" xr:uid="{14BFA260-0C7E-4A29-9619-94E55E132A51}"/>
    <cellStyle name="style1638388046402" xfId="537" xr:uid="{45DF7B6D-8CC2-4936-956E-03272E438708}"/>
    <cellStyle name="style1638388046449" xfId="540" xr:uid="{EE88968C-B539-4BDC-B5D0-D61EE8829E55}"/>
    <cellStyle name="style1638388046511" xfId="543" xr:uid="{FDCCA091-3F18-4D6B-8E1B-CF2B5199511A}"/>
    <cellStyle name="style1638388046558" xfId="538" xr:uid="{45C41CF3-1B4D-44AE-86B8-91FB2B28EC9A}"/>
    <cellStyle name="style1638388046589" xfId="539" xr:uid="{E2F632D0-6AB5-468B-A290-CD504E005C69}"/>
    <cellStyle name="style1638388046636" xfId="541" xr:uid="{9B48D83A-CD55-4EF8-AA32-D6AB6475988A}"/>
    <cellStyle name="style1638388046683" xfId="542" xr:uid="{2FC1A16B-AD56-48CE-AA59-78489FF6350D}"/>
    <cellStyle name="style1638388046730" xfId="544" xr:uid="{0C0BED2A-1B57-4B2E-A6A2-EBF2A7FF9DBF}"/>
    <cellStyle name="style1638388046777" xfId="545" xr:uid="{B006D4F4-D384-4E3F-BA9B-ECBE5388C35D}"/>
    <cellStyle name="style1638388562925" xfId="546" xr:uid="{31D724F3-257F-4913-9376-7EA4BC247435}"/>
    <cellStyle name="style1638388562972" xfId="549" xr:uid="{BE33811C-53EA-4ECD-AC34-A97103AAC2BF}"/>
    <cellStyle name="style1638388563019" xfId="552" xr:uid="{86A08271-E3D5-4A87-99BD-19594E1BC3A6}"/>
    <cellStyle name="style1638388563066" xfId="547" xr:uid="{85192B6B-11D8-48AE-A052-59973BFB8ACF}"/>
    <cellStyle name="style1638388563113" xfId="548" xr:uid="{ABB6E933-9C99-4764-A30D-DB6B1FB5564A}"/>
    <cellStyle name="style1638388563160" xfId="550" xr:uid="{24C275C3-1196-4D4E-9120-533C1ACB0005}"/>
    <cellStyle name="style1638388563207" xfId="551" xr:uid="{14295D95-D26D-41D6-B49F-827C1E69CB25}"/>
    <cellStyle name="style1638388563254" xfId="553" xr:uid="{3A44B781-FA07-4885-BBD2-9DD90EE109A5}"/>
    <cellStyle name="style1638388563300" xfId="554" xr:uid="{3EF1B66F-3713-4F86-B196-BDE29BB4C937}"/>
    <cellStyle name="style1638388739319" xfId="555" xr:uid="{442A0479-6D96-4718-8A56-B24C53C35558}"/>
    <cellStyle name="style1638388739350" xfId="556" xr:uid="{8843C692-490C-4892-B4AF-FE3EECA82043}"/>
    <cellStyle name="style1638388739397" xfId="557" xr:uid="{617CAF53-0901-4AB8-A087-79CB2384AD4A}"/>
    <cellStyle name="style1638388739428" xfId="558" xr:uid="{E426D309-1C4F-4893-8C64-99CBBD089744}"/>
    <cellStyle name="style1638388739475" xfId="559" xr:uid="{ABB1BEA1-13BA-495B-90EA-D5C5820BF6A4}"/>
    <cellStyle name="style1638388739522" xfId="560" xr:uid="{C387DDFD-373B-43A5-8CAB-20873DFC5BC6}"/>
    <cellStyle name="style1638388739569" xfId="561" xr:uid="{B8B2E6D7-63B7-44E2-A3F5-E341EE35178A}"/>
    <cellStyle name="style1638388739616" xfId="562" xr:uid="{94FA859E-BA93-438A-9B20-40C0CBA37A67}"/>
    <cellStyle name="style1638388739662" xfId="563" xr:uid="{F59DF1AA-7348-4438-B512-964BD77A6181}"/>
    <cellStyle name="style1638388739709" xfId="564" xr:uid="{7BDCEEF9-A230-41B8-8A26-67233CAE96F5}"/>
    <cellStyle name="style1638388739756" xfId="565" xr:uid="{D703FE7F-5D4A-4B6B-95BA-BEF9300A94DA}"/>
    <cellStyle name="style1638388739788" xfId="566" xr:uid="{31141DB2-709A-44DA-B7E1-D53C0B71AB83}"/>
    <cellStyle name="style1638388739834" xfId="567" xr:uid="{66EAC2DC-1453-43F5-9E79-600B7431D4FA}"/>
    <cellStyle name="style1638388739881" xfId="568" xr:uid="{9156FD88-B427-48F4-832D-9198315BDB1C}"/>
    <cellStyle name="style1638389094152" xfId="573" xr:uid="{95714E18-5D93-4579-BDBE-8240B48E4396}"/>
    <cellStyle name="style1638389094215" xfId="579" xr:uid="{FAE293B9-8826-4C6A-8C99-0ABE8064544F}"/>
    <cellStyle name="style1638389094277" xfId="569" xr:uid="{5B5C172C-B92B-445B-B775-A2B5EE93018C}"/>
    <cellStyle name="style1638389094324" xfId="570" xr:uid="{A9E4F79A-EED0-4E0B-9F6E-DF9F88AE6024}"/>
    <cellStyle name="style1638389094355" xfId="571" xr:uid="{2E444434-A997-4DB3-8DBF-0CF92AD4FBB2}"/>
    <cellStyle name="style1638389094402" xfId="572" xr:uid="{D8A58A46-A86A-48C1-BC23-E8B11312E9CE}"/>
    <cellStyle name="style1638389094434" xfId="574" xr:uid="{0CD8D8EF-85B5-4722-8DC1-FA76E4C843CC}"/>
    <cellStyle name="style1638389094496" xfId="575" xr:uid="{2ADEAC34-FFAC-434F-9BA0-CBCCDA3F9E51}"/>
    <cellStyle name="style1638389094559" xfId="576" xr:uid="{9A298CC3-A799-43DA-B350-D1569837B852}"/>
    <cellStyle name="style1638389094605" xfId="577" xr:uid="{4C2838F3-B1C4-4130-AD60-F68EFF6A69CC}"/>
    <cellStyle name="style1638389094652" xfId="578" xr:uid="{EC2F48D9-CDDF-44C2-A884-6260211C92FF}"/>
    <cellStyle name="style1638389094746" xfId="580" xr:uid="{869831AC-E707-4C9A-874E-BC21CD22316D}"/>
    <cellStyle name="style1638389094793" xfId="581" xr:uid="{74596B7D-A13E-4589-B06D-1EDF5788B431}"/>
    <cellStyle name="style1638389094840" xfId="582" xr:uid="{D63AE818-5729-4F31-B274-F6032D19C7E8}"/>
    <cellStyle name="style1638389094871" xfId="583" xr:uid="{01F1E2B2-A313-41ED-AFDF-681535F9ABD7}"/>
    <cellStyle name="style1638389094918" xfId="584" xr:uid="{56167945-9EA5-428C-BC83-5906C58AB9A1}"/>
    <cellStyle name="style1638389453314" xfId="589" xr:uid="{20519320-6020-4237-8A4E-1C2E5F777449}"/>
    <cellStyle name="style1638389453377" xfId="596" xr:uid="{5BABEB87-E1E5-4200-8328-F28733AC4690}"/>
    <cellStyle name="style1638389453439" xfId="585" xr:uid="{359D1588-8640-4A27-A904-A3E87705F331}"/>
    <cellStyle name="style1638389453486" xfId="586" xr:uid="{0F66AE14-DCB5-4976-BFAA-58CAD27FEDEF}"/>
    <cellStyle name="style1638389453517" xfId="587" xr:uid="{263BF7B1-2472-48C1-A3C3-ABB8399E25BE}"/>
    <cellStyle name="style1638389453564" xfId="588" xr:uid="{C4E1BD5D-13CE-41B8-A224-ACB7D227DFB3}"/>
    <cellStyle name="style1638389453611" xfId="590" xr:uid="{9628BBAF-D91A-4235-AFF4-CBD636DAC572}"/>
    <cellStyle name="style1638389453642" xfId="591" xr:uid="{BC09CD51-F64C-4B6C-A45B-A019B10C9EBE}"/>
    <cellStyle name="style1638389453689" xfId="592" xr:uid="{A017E001-2FA6-4FEC-8A13-2DADF44553AD}"/>
    <cellStyle name="style1638389453736" xfId="593" xr:uid="{6C05BFAA-D7FD-4024-9772-5D9D90FA112D}"/>
    <cellStyle name="style1638389453767" xfId="594" xr:uid="{62B46F97-DB46-43C8-A7EF-66DB715FAD2C}"/>
    <cellStyle name="style1638389453814" xfId="595" xr:uid="{647F00D9-2879-4F11-A781-6D0B644DEC63}"/>
    <cellStyle name="style1638389453908" xfId="597" xr:uid="{5DBD9A5F-42C2-4114-A2D4-C7DB99DF30E7}"/>
    <cellStyle name="style1638389453955" xfId="598" xr:uid="{56AE63CE-A4EF-4BF0-A52A-E03FAAA73A3A}"/>
    <cellStyle name="style1638389454002" xfId="599" xr:uid="{8EEDF27B-B8E2-48CB-8986-5AFC47729C1F}"/>
    <cellStyle name="style1638389454048" xfId="600" xr:uid="{2220F9DB-22D1-4AEC-A19F-AB5B79983223}"/>
    <cellStyle name="style1638389711802" xfId="622" xr:uid="{37D48E09-2403-4D4B-8171-1B52EBAF6CED}"/>
    <cellStyle name="style1638389711990" xfId="625" xr:uid="{B552E9D9-E0DE-448D-9C52-0E55F945FAD7}"/>
    <cellStyle name="style1638389712052" xfId="618" xr:uid="{2C9F2B1E-52C6-4C42-BEB0-AC04D25122D2}"/>
    <cellStyle name="style1638389712099" xfId="619" xr:uid="{144BA9DB-C7A7-47E9-A3C8-65FD39CDC35D}"/>
    <cellStyle name="style1638389712131" xfId="620" xr:uid="{6ECC50CC-AF0D-4DD4-940A-78BC7B4C41A4}"/>
    <cellStyle name="style1638389712177" xfId="621" xr:uid="{0A95E942-DE52-446D-B04A-DECB3A0AD951}"/>
    <cellStyle name="style1638389712224" xfId="623" xr:uid="{6D7D647F-8623-4927-B34F-ACCF449F1ABA}"/>
    <cellStyle name="style1638389712271" xfId="624" xr:uid="{94C7167A-B357-4437-B96F-CE9527299392}"/>
    <cellStyle name="style1638389714818" xfId="630" xr:uid="{C3D11A4C-CEB5-4EFD-BF15-D232ED0F5055}"/>
    <cellStyle name="style1638389714990" xfId="633" xr:uid="{B3A3A70C-EF0E-46D0-B9B1-80C5F055AE4C}"/>
    <cellStyle name="style1638389715037" xfId="626" xr:uid="{5BCAB9D1-60FB-423C-BF24-A5F96F1C8DDB}"/>
    <cellStyle name="style1638389715084" xfId="627" xr:uid="{3EEA4DD2-C7D6-4043-8161-E345B5806642}"/>
    <cellStyle name="style1638389715115" xfId="628" xr:uid="{2648F350-4CBE-47F3-88EE-98CC8A0C1448}"/>
    <cellStyle name="style1638389715162" xfId="629" xr:uid="{E792B1D8-310E-423C-96C7-24F5FEC06268}"/>
    <cellStyle name="style1638389715224" xfId="631" xr:uid="{F239B7D0-28F6-4913-923D-887C221A2445}"/>
    <cellStyle name="style1638389715256" xfId="632" xr:uid="{05691E3D-A760-4485-B9AD-38C93F1AFCC9}"/>
    <cellStyle name="style1638389896774" xfId="601" xr:uid="{191F3DB0-7AC9-4174-86EE-6A21463CE11B}"/>
    <cellStyle name="style1638389896821" xfId="602" xr:uid="{64B0D637-2111-4306-BE2D-BAC7DB1D0F2C}"/>
    <cellStyle name="style1638389896868" xfId="603" xr:uid="{99B6E571-922C-4CED-8004-FA96344BA65D}"/>
    <cellStyle name="style1638389896915" xfId="604" xr:uid="{02733E17-252F-4127-B457-0F07CBEAB0FB}"/>
    <cellStyle name="style1638389896946" xfId="605" xr:uid="{8EA7DF5D-EA56-412E-ABA7-14695FEFE61F}"/>
    <cellStyle name="style1638389896993" xfId="606" xr:uid="{885203E5-6C7C-43F2-A3E4-A93B3E9E625E}"/>
    <cellStyle name="style1638389897040" xfId="607" xr:uid="{441207CD-E7C7-409A-8EA5-39C36A46A27C}"/>
    <cellStyle name="style1638389897087" xfId="608" xr:uid="{BC41C93F-3669-4005-AB0F-6D5B062013A1}"/>
    <cellStyle name="style1638389897133" xfId="609" xr:uid="{AF2169E0-06C1-4003-93E0-BAB81BDD6F36}"/>
    <cellStyle name="style1638389897165" xfId="610" xr:uid="{3714E149-B6C3-4D31-9820-35386F96386B}"/>
    <cellStyle name="style1638389897212" xfId="611" xr:uid="{23315F09-8640-45EE-B653-A458724385A2}"/>
    <cellStyle name="style1638389897274" xfId="612" xr:uid="{71A842B1-748A-407A-9A36-EDB9C67C6D4B}"/>
    <cellStyle name="style1638389897337" xfId="613" xr:uid="{188BC91A-0F3D-4DF8-9103-D3A3848361A8}"/>
    <cellStyle name="style1638389897368" xfId="614" xr:uid="{8336DC78-56D6-4125-88C6-4EB47BB41126}"/>
    <cellStyle name="style1638389897430" xfId="615" xr:uid="{4F9010C1-6316-42AC-A934-0C568AC65F73}"/>
    <cellStyle name="style1638389897462" xfId="616" xr:uid="{F499A100-645C-4197-AD90-DCC4648803E5}"/>
    <cellStyle name="style1638389897508" xfId="617" xr:uid="{3F103AF8-2D08-4973-933D-45A5C7C3DB23}"/>
    <cellStyle name="style1638390047511" xfId="634" xr:uid="{B3730B52-EFC0-4C7C-AC8C-F8BE9295EFE6}"/>
    <cellStyle name="style1638390047558" xfId="635" xr:uid="{1FB39043-01BC-4774-83CB-4570EF40D7CE}"/>
    <cellStyle name="style1638390047604" xfId="636" xr:uid="{92792826-277C-4273-ABEC-0059F6B5466F}"/>
    <cellStyle name="style1638390047651" xfId="637" xr:uid="{F194E428-481C-453A-902F-D1DABDEF7F95}"/>
    <cellStyle name="style1638390047698" xfId="638" xr:uid="{F1F34C2C-9279-4DE8-939D-59A4B095FCCE}"/>
    <cellStyle name="style1638390047729" xfId="639" xr:uid="{50045337-B3BE-456A-B057-C00FD770313D}"/>
    <cellStyle name="style1638390047776" xfId="640" xr:uid="{DA87A301-6491-43A6-A598-033D3678A45F}"/>
    <cellStyle name="style1638390047839" xfId="641" xr:uid="{3BC306BE-5F29-4F8E-A1B5-33CC2CAD3CD2}"/>
    <cellStyle name="style1638390047870" xfId="642" xr:uid="{BE202C7F-D6CE-40D7-8559-E574E8F73316}"/>
    <cellStyle name="style1638390047917" xfId="643" xr:uid="{ADF315FA-4436-47BA-A294-BBF12D36C53E}"/>
    <cellStyle name="style1638390047964" xfId="644" xr:uid="{21B1FECD-3266-4131-89A6-0E001EB26E5A}"/>
    <cellStyle name="style1638390048042" xfId="645" xr:uid="{20255352-4D25-404C-AEBD-E251419C3684}"/>
    <cellStyle name="style1638390048089" xfId="646" xr:uid="{5C984862-CD97-431F-BBB6-07324B101FD1}"/>
    <cellStyle name="style1638390048136" xfId="647" xr:uid="{88C4AC3F-F15E-4201-A2DA-D5AE7ABFDEA5}"/>
    <cellStyle name="style1638390048183" xfId="648" xr:uid="{92113D85-9B9A-4009-A606-6BE9EEF2A482}"/>
    <cellStyle name="style1638390048214" xfId="649" xr:uid="{3BC15C1D-26D4-47D5-B9C6-61218A7FEABF}"/>
    <cellStyle name="style1638390048261" xfId="650" xr:uid="{3373D9E7-C217-46FE-A917-BA4E06A69C45}"/>
    <cellStyle name="style1641303502409" xfId="651" xr:uid="{6E92B5C7-06B7-4161-9F7E-FE8E49FBFAA8}"/>
    <cellStyle name="style1641303502441" xfId="652" xr:uid="{A61D4737-7210-49E9-AEC7-C12C9EE76FCF}"/>
    <cellStyle name="style1641303502503" xfId="653" xr:uid="{BA961D0C-BA26-4624-A196-C7F6FF61B664}"/>
    <cellStyle name="style1641303502534" xfId="654" xr:uid="{EAFF9F76-CBEF-4795-AB7D-ED3D807D9914}"/>
    <cellStyle name="style1641303502581" xfId="655" xr:uid="{958B5825-8001-49AD-B82C-1001F46B7F71}"/>
    <cellStyle name="style1641303502613" xfId="656" xr:uid="{5271AE24-D69E-497D-AFE0-ECBBC8B2224B}"/>
    <cellStyle name="style1641303502659" xfId="657" xr:uid="{A2CC2794-C98E-460C-A401-4B979A2091FB}"/>
    <cellStyle name="style1641303502706" xfId="658" xr:uid="{341A076A-C5DE-48E3-9973-866795266453}"/>
    <cellStyle name="style1641303502753" xfId="659" xr:uid="{0CCF9E6C-8A87-4191-B673-B0659E0F75F9}"/>
    <cellStyle name="style1641303502784" xfId="660" xr:uid="{14CEABBB-D19A-4256-9E5E-E55782839C42}"/>
    <cellStyle name="style1643800850408" xfId="661" xr:uid="{21867F3E-49E4-4B9F-AC61-CDA132A13134}"/>
    <cellStyle name="style1643800850455" xfId="662" xr:uid="{7B2301E2-9095-4C6E-996C-750D5A702D90}"/>
    <cellStyle name="style1643800850502" xfId="663" xr:uid="{CE95E0B3-D0A4-46CE-8DE4-5BD2C74D7A88}"/>
    <cellStyle name="style1643800850533" xfId="664" xr:uid="{743F36DC-0465-44BE-AA08-230DA7C212FB}"/>
    <cellStyle name="style1643800850580" xfId="665" xr:uid="{6F6F4F04-6C55-4DDE-9830-A764902C378A}"/>
    <cellStyle name="style1643800850611" xfId="666" xr:uid="{A8EB75CF-8FAD-45EE-8532-F7929171923E}"/>
    <cellStyle name="style1643800850658" xfId="667" xr:uid="{E5D8C08F-9A0D-4EE8-B706-B2940AAB05D7}"/>
    <cellStyle name="style1643800850690" xfId="668" xr:uid="{33B1DDC5-832C-482B-ABC7-83A8E95308D2}"/>
    <cellStyle name="style1643800850736" xfId="669" xr:uid="{EF2B0B09-5F54-4FF7-BFBE-22F7C3FF5327}"/>
    <cellStyle name="style1643800850783" xfId="670" xr:uid="{97D8037C-E005-4A62-97E7-E3C88C39A557}"/>
    <cellStyle name="style1643800850815" xfId="671" xr:uid="{32034421-95F8-44DD-BB2E-7CD90B389189}"/>
    <cellStyle name="style1643800850861" xfId="672" xr:uid="{299DD47B-29B9-405F-9142-41EA481633C0}"/>
    <cellStyle name="style1643800850908" xfId="673" xr:uid="{8C5BC6FD-4843-4F13-81BC-FF9BC3081ABB}"/>
    <cellStyle name="style1643802211040" xfId="763" xr:uid="{CCE655B5-9757-406A-A818-91BD39865DFE}"/>
    <cellStyle name="style1643802211103" xfId="766" xr:uid="{35FCEB42-08F3-4DBD-BE01-75DED4380B6F}"/>
    <cellStyle name="style1643802211149" xfId="769" xr:uid="{F053466B-0537-4C19-B325-7738245AB481}"/>
    <cellStyle name="style1643802211212" xfId="764" xr:uid="{656F9732-3541-4569-96F2-C08EAB5E205E}"/>
    <cellStyle name="style1643802211243" xfId="765" xr:uid="{2FA408BE-CA31-457F-8EE0-682DAF78C410}"/>
    <cellStyle name="style1643802211290" xfId="767" xr:uid="{6081D58D-1FD6-45AB-89F6-AD831594A475}"/>
    <cellStyle name="style1643802211337" xfId="768" xr:uid="{6BEDEA4A-817F-47B1-8030-1E09C96E6874}"/>
    <cellStyle name="style1643802211400" xfId="770" xr:uid="{1710A8B2-9A98-4D27-99BE-FF97B547E0DB}"/>
    <cellStyle name="style1643802211431" xfId="771" xr:uid="{BC015295-35D9-4E19-89B0-ED4B521F39F7}"/>
    <cellStyle name="style1643803020975" xfId="772" xr:uid="{1B5C54CD-1CBA-4317-8C9A-918541602FC4}"/>
    <cellStyle name="style1643803021022" xfId="775" xr:uid="{BD12814A-525B-4F54-A858-9CCA32133383}"/>
    <cellStyle name="style1643803021069" xfId="778" xr:uid="{3035E5EE-60BA-4F31-8478-946C284E51AA}"/>
    <cellStyle name="style1643803021116" xfId="773" xr:uid="{E2E2FC7A-A757-40A0-90EB-7B084C3CE550}"/>
    <cellStyle name="style1643803021162" xfId="774" xr:uid="{0C51ADC0-4C2A-42EC-B21C-87BFD4BD8B03}"/>
    <cellStyle name="style1643803021194" xfId="776" xr:uid="{56D26D41-5E01-45FB-921A-ABF8844A3AA0}"/>
    <cellStyle name="style1643803021241" xfId="777" xr:uid="{5983E404-8E45-4FE6-A0B6-E829A1B84561}"/>
    <cellStyle name="style1643803021287" xfId="779" xr:uid="{5B859557-D9D3-4F52-A17E-0CCE3A7E5859}"/>
    <cellStyle name="style1643803021334" xfId="780" xr:uid="{4EAE3C2C-63D1-4E3F-A186-E5E03635B652}"/>
    <cellStyle name="style1643803833423" xfId="781" xr:uid="{C78B8D21-6650-46DC-85C3-5D1F2EE34E0C}"/>
    <cellStyle name="style1643803833470" xfId="784" xr:uid="{26E4E95C-58D4-46C8-94BB-FFC10C575D65}"/>
    <cellStyle name="style1643803833517" xfId="787" xr:uid="{1411158A-20DC-4CEE-BB93-DE736D452A23}"/>
    <cellStyle name="style1643803833564" xfId="782" xr:uid="{B755FD4B-B87C-4881-9CBD-78634AEC116C}"/>
    <cellStyle name="style1643803833611" xfId="783" xr:uid="{0D04DAE6-59F6-427B-9B06-9D26C0C3EB1B}"/>
    <cellStyle name="style1643803833642" xfId="785" xr:uid="{A3DC2E94-2EFD-45D8-B1F5-BA0E220DA106}"/>
    <cellStyle name="style1643803833689" xfId="786" xr:uid="{836369A2-46E9-4B65-8402-5AE6EE7898CD}"/>
    <cellStyle name="style1643803833736" xfId="788" xr:uid="{6805A078-526F-4FF1-9466-DBB4A310A763}"/>
    <cellStyle name="style1643803833783" xfId="789" xr:uid="{B8CBEDDF-4431-45C9-91F6-DB822E7C67F0}"/>
    <cellStyle name="style1643803870518" xfId="686" xr:uid="{507BB7AE-C205-4D8C-9BE4-69389257DAEF}"/>
    <cellStyle name="style1643803870565" xfId="687" xr:uid="{2014259C-2C57-4E39-B43E-C8248C3541D1}"/>
    <cellStyle name="style1643803870596" xfId="688" xr:uid="{98A628CD-7C75-416F-A36D-A3CCE8B39FEB}"/>
    <cellStyle name="style1643803870643" xfId="689" xr:uid="{B40F9BEE-F285-4DC7-84A6-D0DAD06BCE8B}"/>
    <cellStyle name="style1643803870674" xfId="690" xr:uid="{3623656E-39BC-49A5-A21E-423BBC2CAA99}"/>
    <cellStyle name="style1643803870721" xfId="691" xr:uid="{7AB6AD97-91E2-4701-B39C-5510722B21B1}"/>
    <cellStyle name="style1643803870768" xfId="692" xr:uid="{A799634E-2646-48B3-8EF3-CAF391FE8E41}"/>
    <cellStyle name="style1643803870799" xfId="693" xr:uid="{70A5B2A5-ECBF-434D-AB2C-40D0C9207426}"/>
    <cellStyle name="style1643803870846" xfId="694" xr:uid="{E2086CF0-5A56-4719-B290-9192AA060A75}"/>
    <cellStyle name="style1643803870878" xfId="695" xr:uid="{30E7E951-115C-4639-9627-28A9C25ED9BE}"/>
    <cellStyle name="style1643803870924" xfId="696" xr:uid="{4838243D-7D3F-4277-845F-D66D15C880FA}"/>
    <cellStyle name="style1643803870956" xfId="697" xr:uid="{335CB0D1-36CB-4720-B7D5-1C4390B331F0}"/>
    <cellStyle name="style1643803902004" xfId="703" xr:uid="{DA4A5067-C069-4D26-ADFD-8BE8011B8EF6}"/>
    <cellStyle name="style1643803902066" xfId="709" xr:uid="{D7202A7E-8A48-4EA7-92E3-CBC6B6E0B312}"/>
    <cellStyle name="style1643803902129" xfId="698" xr:uid="{A93CA7FA-652F-47D7-827E-A4245DFFEF38}"/>
    <cellStyle name="style1643803902160" xfId="699" xr:uid="{271874E9-C963-4E74-98E8-FD104571F022}"/>
    <cellStyle name="style1643803902207" xfId="700" xr:uid="{1771DA08-3114-4533-8130-F00A0AD28FDA}"/>
    <cellStyle name="style1643803902238" xfId="701" xr:uid="{73B48D35-73D8-4EF6-8160-271640DD36A5}"/>
    <cellStyle name="style1643803902285" xfId="702" xr:uid="{FDCFF746-8014-45FA-B7FA-46E107E7F2CA}"/>
    <cellStyle name="style1643803902316" xfId="704" xr:uid="{29C0F945-13A3-470B-8185-B9665A6DB2A9}"/>
    <cellStyle name="style1643803902363" xfId="705" xr:uid="{8A6BD035-53DE-4AB6-9B57-80C7FBDB0646}"/>
    <cellStyle name="style1643803902394" xfId="706" xr:uid="{9D8A61BA-F7A5-4F1E-9DBE-AB7348074DCD}"/>
    <cellStyle name="style1643803902441" xfId="707" xr:uid="{1BF434EC-991A-441F-999F-4A1F854D5E5F}"/>
    <cellStyle name="style1643803902488" xfId="708" xr:uid="{20F25C48-E8E2-4C11-9857-CB5D1DD12984}"/>
    <cellStyle name="style1643803902597" xfId="710" xr:uid="{F4505666-9ECE-452B-92B9-2B5C80E2EF0F}"/>
    <cellStyle name="style1643803902644" xfId="711" xr:uid="{C5C752C6-07CD-41BC-B0D2-733186164AF4}"/>
    <cellStyle name="style1643803902675" xfId="712" xr:uid="{7E993213-E00A-4EA5-9306-6165D425B17D}"/>
    <cellStyle name="style1643803902722" xfId="713" xr:uid="{3D271CAD-4D28-4845-BD81-2ED0F11AFB51}"/>
    <cellStyle name="style1643803902754" xfId="714" xr:uid="{51FDF119-534C-4046-9244-66CD17F81749}"/>
    <cellStyle name="style1643804630307" xfId="729" xr:uid="{5698993E-6866-45AC-A83B-9828A3D94F91}"/>
    <cellStyle name="style1643804630369" xfId="730" xr:uid="{E8BD98CE-DE1F-45EE-876E-BF58091483FC}"/>
    <cellStyle name="style1643804630416" xfId="715" xr:uid="{B7C52F6E-5ED1-4AE2-878C-C8BB4030A0F1}"/>
    <cellStyle name="style1643804630463" xfId="716" xr:uid="{BEFF2B6F-8BE3-466F-B49F-71B85C027097}"/>
    <cellStyle name="style1643804630510" xfId="717" xr:uid="{5A05D37B-0AF2-4D04-B35D-6F86652A593A}"/>
    <cellStyle name="style1643804630541" xfId="718" xr:uid="{44FA416F-8BFD-4074-9EFD-6443C03FEA7E}"/>
    <cellStyle name="style1643804630588" xfId="719" xr:uid="{FDBE9974-8C92-4322-9276-38F58FFAF196}"/>
    <cellStyle name="style1643804630619" xfId="720" xr:uid="{D8FE3A01-5C1D-4100-ADDF-47EA47886EB2}"/>
    <cellStyle name="style1643804630666" xfId="721" xr:uid="{54B5B428-E789-4229-83FB-3297B63F4FCA}"/>
    <cellStyle name="style1643804630697" xfId="722" xr:uid="{1FF7486D-1C2E-4189-BB83-A889CC7F673E}"/>
    <cellStyle name="style1643804630744" xfId="723" xr:uid="{A6FCFBF9-B312-4B1A-B2D9-E9331E551820}"/>
    <cellStyle name="style1643804630791" xfId="724" xr:uid="{C9539864-A7CD-4A48-9FE6-5187709DDBCA}"/>
    <cellStyle name="style1643804630885" xfId="725" xr:uid="{898D233F-94CF-47F1-BE7E-7760380D034C}"/>
    <cellStyle name="style1643804630932" xfId="726" xr:uid="{4ED4459B-5A4A-440B-8CFF-A311E6162502}"/>
    <cellStyle name="style1643804630979" xfId="727" xr:uid="{A269E567-2387-4FFD-8895-297AD985B85A}"/>
    <cellStyle name="style1643804631026" xfId="728" xr:uid="{F70F9394-C4F7-48A3-9A63-F2FA0DFB1300}"/>
    <cellStyle name="style1643804687996" xfId="733" xr:uid="{28B70B41-D63B-4727-970B-CB978A37543F}"/>
    <cellStyle name="style1643804688168" xfId="736" xr:uid="{FD3715A6-F7A5-4AE6-9B9E-1CE7DA680BD9}"/>
    <cellStyle name="style1643804688230" xfId="731" xr:uid="{4531747C-0E2F-4E7F-B61E-E885FEE372A5}"/>
    <cellStyle name="style1643804688262" xfId="732" xr:uid="{CB3907D6-8D5A-4AE9-B4EA-8976F35646BE}"/>
    <cellStyle name="style1643804688308" xfId="734" xr:uid="{236876BE-C1FF-43AD-90B6-CA0D1BC9516C}"/>
    <cellStyle name="style1643804688355" xfId="735" xr:uid="{D0DDFC8A-0FED-41A1-A26E-37B42C797052}"/>
    <cellStyle name="style1643804688402" xfId="737" xr:uid="{A115D07A-0016-4F16-9561-59EEDEB849E1}"/>
    <cellStyle name="style1643804688433" xfId="738" xr:uid="{884BDAFB-2E71-4E62-B276-FDBA069EAB9D}"/>
    <cellStyle name="style1643804736982" xfId="739" xr:uid="{BDD12A7F-37F2-4FBD-9EE6-CE41D090A4F6}"/>
    <cellStyle name="style1643804737029" xfId="740" xr:uid="{24F45E1F-DB56-4167-B7C1-DA289ED6D7A5}"/>
    <cellStyle name="style1643804737060" xfId="741" xr:uid="{25FB5962-EB5F-4811-9DA4-4F7B8A55C9E0}"/>
    <cellStyle name="style1643804737107" xfId="742" xr:uid="{0463F976-04EC-494C-8D00-C570772750B6}"/>
    <cellStyle name="style1643804737154" xfId="743" xr:uid="{46BCBF11-8695-4506-AF24-F97F91B70D95}"/>
    <cellStyle name="style1643804737185" xfId="744" xr:uid="{923196DB-6B6E-47E5-8F7B-634C917F76FC}"/>
    <cellStyle name="style1643804737232" xfId="745" xr:uid="{1587D389-01F1-42E2-AA5B-02E19E7EAB1F}"/>
    <cellStyle name="style1643804737279" xfId="746" xr:uid="{77E84716-E8EC-409F-983E-5D65592A299C}"/>
    <cellStyle name="style1643804737310" xfId="747" xr:uid="{5D654651-8472-4DEB-A66D-89FC91B7F0D4}"/>
    <cellStyle name="style1643804737357" xfId="748" xr:uid="{5EE961A4-0295-4CD5-BFF5-6837D0A00571}"/>
    <cellStyle name="style1643804737388" xfId="749" xr:uid="{0F4DD90A-C186-4C0D-9509-7B040A189101}"/>
    <cellStyle name="style1643804737435" xfId="750" xr:uid="{C94912F0-4A2E-408C-A26A-1950EE277D16}"/>
    <cellStyle name="style1643804765389" xfId="751" xr:uid="{4223EEE6-E15A-4BA3-BB39-A95ACDF6B14D}"/>
    <cellStyle name="style1643804765436" xfId="752" xr:uid="{D53CE74F-8849-4236-A0A1-2B68FFEED23D}"/>
    <cellStyle name="style1643804765467" xfId="753" xr:uid="{D4761E7C-C7FD-46AD-B53E-A565031FF123}"/>
    <cellStyle name="style1643804765514" xfId="754" xr:uid="{6B5C691A-152E-4257-BC8C-94AB72143121}"/>
    <cellStyle name="style1643804765561" xfId="755" xr:uid="{C013A765-1C6C-46E5-96E6-194F6612DB87}"/>
    <cellStyle name="style1643804765592" xfId="756" xr:uid="{677C715A-BEB5-4CA9-A2C5-8881272E7839}"/>
    <cellStyle name="style1643804765639" xfId="757" xr:uid="{4BC91090-5205-4905-A06E-9D6C28E198B1}"/>
    <cellStyle name="style1643804765670" xfId="758" xr:uid="{F4CCF1A9-EF36-4A55-BE37-42A0DEFC3E97}"/>
    <cellStyle name="style1643804765717" xfId="759" xr:uid="{4623A68D-BD70-4EE3-9862-0B61C5DC9944}"/>
    <cellStyle name="style1643804765748" xfId="760" xr:uid="{16566CE0-7664-4C69-B2AC-0B6390921A5D}"/>
    <cellStyle name="style1643804765795" xfId="761" xr:uid="{F36EF0E9-326F-484C-82FE-5E15293AC32E}"/>
    <cellStyle name="style1643804765826" xfId="762" xr:uid="{6CB6AB5E-0332-4BC8-A227-E2A290774415}"/>
    <cellStyle name="style1643972720956" xfId="674" xr:uid="{93FA6200-8AA3-4362-82E7-E8E9B7244F00}"/>
    <cellStyle name="style1643972721003" xfId="675" xr:uid="{A3A6AF87-32DE-46AF-B047-F4283FFB5CDA}"/>
    <cellStyle name="style1643972721034" xfId="676" xr:uid="{B9D2CF75-7325-452B-8E07-D58BEC1F47DC}"/>
    <cellStyle name="style1643972721081" xfId="677" xr:uid="{22955BC3-03A7-428E-899D-EB93F911BCF6}"/>
    <cellStyle name="style1643972721113" xfId="678" xr:uid="{01054103-2D21-4EF2-86B2-83DAEDB9C351}"/>
    <cellStyle name="style1643972721144" xfId="679" xr:uid="{13CCF969-178C-41BC-AABA-141BCAD1F610}"/>
    <cellStyle name="style1643972721191" xfId="680" xr:uid="{78259435-362E-4928-B572-6236BBFE0DA2}"/>
    <cellStyle name="style1643972721235" xfId="681" xr:uid="{27E8BBCD-6B8E-4DC1-9AE7-19BE9155C624}"/>
    <cellStyle name="style1643972721269" xfId="682" xr:uid="{281E009E-3925-4FEC-A872-C1DA262FE7A9}"/>
    <cellStyle name="style1643972721300" xfId="683" xr:uid="{80C0D898-9804-49ED-825E-33166F1B312E}"/>
    <cellStyle name="style1643972721347" xfId="684" xr:uid="{F87E9A5A-E806-4EF1-B7C6-2BFCE7EC973A}"/>
    <cellStyle name="style1643972721378" xfId="685" xr:uid="{1B37612D-9883-4FFE-8112-75965A731D74}"/>
    <cellStyle name="style1656912792965" xfId="796" xr:uid="{50C46F45-70F1-4D69-82CB-0F1FA9BF905D}"/>
    <cellStyle name="style1656912792996" xfId="797" xr:uid="{0B0A7281-55CA-4AF0-A25B-0B36EA2220C4}"/>
    <cellStyle name="style1656912793027" xfId="798" xr:uid="{D4AC826C-D569-44B3-847A-E221AE875DB9}"/>
    <cellStyle name="style1656912793059" xfId="799" xr:uid="{72B085F0-2652-4BA2-ADD4-1146A5B20035}"/>
    <cellStyle name="style1656912793090" xfId="800" xr:uid="{1382AC31-F470-4BC9-9675-EB4FECC3A085}"/>
    <cellStyle name="style1656912793137" xfId="801" xr:uid="{5F92393F-101A-4C9E-96A0-7811053A37B0}"/>
    <cellStyle name="style1670244432495" xfId="790" xr:uid="{ACB4FF8F-5295-430B-B694-126EED34B3F9}"/>
    <cellStyle name="style1670244432511" xfId="791" xr:uid="{9DE5A96B-1F69-434D-A0B0-5DDCB4DE7445}"/>
    <cellStyle name="style1670244432542" xfId="792" xr:uid="{E6F0685A-0CD3-40CF-ACC0-485D81C15DC4}"/>
    <cellStyle name="style1670244432573" xfId="793" xr:uid="{951CA791-68C1-4ACE-BCA6-6438ACEF35FF}"/>
    <cellStyle name="style1670244432604" xfId="794" xr:uid="{6F595D90-198E-44C4-96AD-6ABC753B0429}"/>
    <cellStyle name="style1670244432620" xfId="795" xr:uid="{D40D39E1-7DC4-4975-B734-07C63A2EA9DA}"/>
    <cellStyle name="style1675341478072" xfId="1396" xr:uid="{7CB5919F-7FF3-4CF9-BBD1-5D3E345428A8}"/>
    <cellStyle name="style1675341478103" xfId="1397" xr:uid="{55E95103-075D-4BE8-8AEE-CF0451F55C0C}"/>
    <cellStyle name="style1675341478150" xfId="1398" xr:uid="{218FD547-013F-4EFF-8834-54017B67ACD8}"/>
    <cellStyle name="style1675341478181" xfId="1399" xr:uid="{45960E90-FCB2-4EB9-AF71-054963ABA742}"/>
    <cellStyle name="style1675341478228" xfId="1400" xr:uid="{EEF2D7BA-915C-4202-8668-3C6617CC9167}"/>
    <cellStyle name="style1675341478259" xfId="1402" xr:uid="{9476FBB1-C148-4903-AE11-1A2E72E8AB38}"/>
    <cellStyle name="style1675341478306" xfId="1405" xr:uid="{219AA740-ECE0-4253-9EA8-1F39976F4D4C}"/>
    <cellStyle name="style1675341478353" xfId="1403" xr:uid="{493446D7-9DCA-468A-B602-F0C32D4F1678}"/>
    <cellStyle name="style1675341478384" xfId="1404" xr:uid="{337930B0-DBCB-4D11-ABD8-1E26ECA11012}"/>
    <cellStyle name="style1675341478431" xfId="1406" xr:uid="{2886025F-B024-4B77-9334-E327434E2CED}"/>
    <cellStyle name="style1675341478478" xfId="1407" xr:uid="{E5847B3D-3055-4F58-B8A6-2C5D67F262A0}"/>
    <cellStyle name="style1675341478509" xfId="1401" xr:uid="{775268FA-D15C-4CA8-92D6-D4C680B670B4}"/>
    <cellStyle name="style1675342120817" xfId="1314" xr:uid="{B64FEF14-6513-445F-8168-F3D95AF9D7CB}"/>
    <cellStyle name="style1675342120848" xfId="1317" xr:uid="{AE7A63E0-6EC6-4748-87E4-44BCF3332042}"/>
    <cellStyle name="style1675342120880" xfId="1318" xr:uid="{598228EB-F850-4C2F-BDE9-542780A2931E}"/>
    <cellStyle name="style1675342120926" xfId="1319" xr:uid="{8F57AE2C-FA4A-4DD3-8718-729CBF8B07A6}"/>
    <cellStyle name="style1675342120958" xfId="1320" xr:uid="{39F1992A-8CD8-4BD8-84F1-34BF163DD9A1}"/>
    <cellStyle name="style1675342120989" xfId="1322" xr:uid="{C60D95C3-FE6B-4D89-841E-910A76EB05A5}"/>
    <cellStyle name="style1675342121020" xfId="1323" xr:uid="{5F132E42-7C99-48FA-AB2E-4BECABE7AF47}"/>
    <cellStyle name="style1675342121067" xfId="1324" xr:uid="{E093B12E-3657-4424-A5F8-746C65EC1C8E}"/>
    <cellStyle name="style1675342121098" xfId="1325" xr:uid="{736D5258-CDAF-453A-A708-FD5442E94E92}"/>
    <cellStyle name="style1675342121130" xfId="1326" xr:uid="{475240F7-F4D1-47A3-8093-C6631898FBF2}"/>
    <cellStyle name="style1675342121176" xfId="1332" xr:uid="{48B53DFD-1367-49E7-B818-69483D6999A0}"/>
    <cellStyle name="style1675342121208" xfId="1327" xr:uid="{87423FA6-6942-4750-B36E-8136DD9DAFFD}"/>
    <cellStyle name="style1675342177960" xfId="1328" xr:uid="{C7543A42-0605-4E2E-82DF-DB8B6459A3AD}"/>
    <cellStyle name="style1675342178007" xfId="1321" xr:uid="{F6AB854B-3B0B-4E02-86FD-B26654A5AC9A}"/>
    <cellStyle name="style1675342178054" xfId="1333" xr:uid="{C0637DE0-FBBA-4D6B-978B-529CE5472DDD}"/>
    <cellStyle name="style1675342178085" xfId="1329" xr:uid="{8C3C5569-7E8D-49CD-9B2E-BC781D8F34E9}"/>
    <cellStyle name="style1675342178117" xfId="1330" xr:uid="{55E532EB-2D0A-4FC4-8746-3710625958C0}"/>
    <cellStyle name="style1675342178164" xfId="1338" xr:uid="{C442D965-7C69-4248-A958-4CBBF0E534E6}"/>
    <cellStyle name="style1675342178195" xfId="1331" xr:uid="{73FD1596-FE54-4DE2-8539-37BA1CEB292F}"/>
    <cellStyle name="style1675342178242" xfId="1334" xr:uid="{E589089D-6976-44DB-AC41-BDC327FDA8B4}"/>
    <cellStyle name="style1675342178273" xfId="1335" xr:uid="{969E677E-C590-48F5-AF87-BD33C171649C}"/>
    <cellStyle name="style1675342218014" xfId="1336" xr:uid="{BFB02EED-C0B8-412F-81E2-7210ECA5E1DA}"/>
    <cellStyle name="style1675342218061" xfId="1341" xr:uid="{B3280056-A2CA-4911-87C5-69FAC202571D}"/>
    <cellStyle name="style1675342218092" xfId="1350" xr:uid="{E288B32F-201A-413F-8D78-2838C45151A7}"/>
    <cellStyle name="style1675342218139" xfId="1339" xr:uid="{388EB3EB-2935-4EF2-B4E0-DB0F85136F5D}"/>
    <cellStyle name="style1675342218170" xfId="1340" xr:uid="{DE40B36A-45C9-4680-8688-882187AF7426}"/>
    <cellStyle name="style1675342218217" xfId="1342" xr:uid="{7E982792-8179-4B46-9635-DD697A017F67}"/>
    <cellStyle name="style1675342218248" xfId="1343" xr:uid="{3FE6CDE3-C723-43BA-B6B6-93854C983FA1}"/>
    <cellStyle name="style1675342218295" xfId="1357" xr:uid="{DA09243C-9620-449E-A799-A558EEDE38D0}"/>
    <cellStyle name="style1675342218326" xfId="1345" xr:uid="{E7D235A8-C7A5-488F-9B8F-1039BE49B910}"/>
    <cellStyle name="style1675342255599" xfId="1346" xr:uid="{8AC65AEB-EBE1-499C-9819-65D6179DBDA4}"/>
    <cellStyle name="style1675342255646" xfId="1347" xr:uid="{0B1B85C9-3434-47B8-B221-A116331BD94A}"/>
    <cellStyle name="style1675342255677" xfId="1351" xr:uid="{1F74041F-F08E-44FE-97B7-54B6C2FE0C53}"/>
    <cellStyle name="style1675342255724" xfId="1337" xr:uid="{B646E76F-75B4-4F96-BBE6-23AA355AE16F}"/>
    <cellStyle name="style1675342255755" xfId="1344" xr:uid="{16034467-A6C6-44F3-9E72-995B50144455}"/>
    <cellStyle name="style1675342255787" xfId="1348" xr:uid="{438CBD3E-48A7-49DB-92C0-96FD81BEF128}"/>
    <cellStyle name="style1675342255833" xfId="1349" xr:uid="{5A3C3960-623D-4397-927F-E25C7664163E}"/>
    <cellStyle name="style1675342255880" xfId="1352" xr:uid="{B4AFB19E-C419-4681-8E02-E51BC2626F4C}"/>
    <cellStyle name="style1675342255912" xfId="1353" xr:uid="{6460BF86-DE6A-4666-86E9-C3723DC598B8}"/>
    <cellStyle name="style1675342283343" xfId="1354" xr:uid="{C9C8E686-B325-4EBD-A543-255C32917134}"/>
    <cellStyle name="style1675342283390" xfId="1355" xr:uid="{9DC1DDF5-4D1C-4115-A3C3-A88DCAF8B0A8}"/>
    <cellStyle name="style1675342283421" xfId="1356" xr:uid="{3EF7E2F1-0ED8-4509-8236-CE6BA9392B10}"/>
    <cellStyle name="style1675342283452" xfId="1358" xr:uid="{FEC681FB-94F5-4444-9358-37208BCDC2F4}"/>
    <cellStyle name="style1675342283483" xfId="1359" xr:uid="{BA080610-BCF3-4BC5-973C-EAE0317505D3}"/>
    <cellStyle name="style1675342283515" xfId="1360" xr:uid="{73691ECD-4211-4678-87D0-1B062A775889}"/>
    <cellStyle name="style1675342283546" xfId="1361" xr:uid="{2F3BED00-257E-46D7-82CA-FD933016224E}"/>
    <cellStyle name="style1675342283577" xfId="1362" xr:uid="{F73FF6A7-9096-41E6-B812-E6F24F247E93}"/>
    <cellStyle name="style1675342283608" xfId="1287" xr:uid="{2D68D48F-E92B-4ADC-9633-6AB37FB7B739}"/>
    <cellStyle name="style1675342283640" xfId="1288" xr:uid="{7C4C5530-978A-4131-BE6C-8A2187911BBA}"/>
    <cellStyle name="style1675342308165" xfId="1290" xr:uid="{EFC6E848-DB1F-4AC9-9AE6-472DD2D7D5EC}"/>
    <cellStyle name="style1675342308197" xfId="1295" xr:uid="{006EA484-3B90-4C57-8F23-63A110F628C5}"/>
    <cellStyle name="style1675342308243" xfId="1285" xr:uid="{699419DE-5C7A-4EA0-8FF5-984EB1D8C4C8}"/>
    <cellStyle name="style1675342308290" xfId="1291" xr:uid="{AC7C1A09-42BA-4E04-AFCC-E68CAD37F678}"/>
    <cellStyle name="style1675342308322" xfId="1293" xr:uid="{5C88769B-0315-466F-990E-E5A6424FE509}"/>
    <cellStyle name="style1675342308353" xfId="1294" xr:uid="{E89FD216-6803-4F8E-987E-249F67B1596E}"/>
    <cellStyle name="style1675342308384" xfId="1289" xr:uid="{2728600C-0B95-428A-BED7-CF6003499872}"/>
    <cellStyle name="style1675342308415" xfId="1292" xr:uid="{B784B32F-D546-4B40-969D-C6680E24E0E7}"/>
    <cellStyle name="style1675342308447" xfId="1296" xr:uid="{17FD8EA3-0B7C-494A-8A79-0C63020EA343}"/>
    <cellStyle name="style1675342308478" xfId="1297" xr:uid="{7863D30F-19D6-42A8-B3DD-AE23087747C9}"/>
    <cellStyle name="style1675342308509" xfId="1299" xr:uid="{C31FE253-6AB3-4280-8F2F-D744B6CC45CE}"/>
    <cellStyle name="style1675342308540" xfId="1300" xr:uid="{3245F327-50C8-489B-896E-CFB6A79957B1}"/>
    <cellStyle name="style1675342308572" xfId="1284" xr:uid="{5737C540-10D6-4F37-B14D-B4A589320B07}"/>
    <cellStyle name="style1675342308681" xfId="1298" xr:uid="{8E4D526A-FE0C-4CD8-99E9-64D2D64C08DA}"/>
    <cellStyle name="style1675342308712" xfId="1301" xr:uid="{9F482F86-038E-4C9F-A139-7A209FB897C4}"/>
    <cellStyle name="style1675342308759" xfId="1286" xr:uid="{4EB7F193-5B16-445D-B510-30DCE0026371}"/>
    <cellStyle name="style1675342308790" xfId="1302" xr:uid="{8CAFF5F8-4269-4D83-B937-9B6E7538773B}"/>
    <cellStyle name="style1675342308821" xfId="1303" xr:uid="{38F38CE6-0E1B-47A0-8B7D-2DE8B71F7445}"/>
    <cellStyle name="style1675342364824" xfId="1305" xr:uid="{30F480DD-B8A4-4F64-94FE-4DA440F8B385}"/>
    <cellStyle name="style1675342364871" xfId="1307" xr:uid="{E233CFEF-F39C-4B4A-B140-2C34FE152694}"/>
    <cellStyle name="style1675342364918" xfId="1368" xr:uid="{9721F7B7-6860-4885-94F0-3B8613D1FA6F}"/>
    <cellStyle name="style1675342364949" xfId="1306" xr:uid="{037D450F-0F2C-4AE7-A8BB-9609AF193ED3}"/>
    <cellStyle name="style1675342364981" xfId="1308" xr:uid="{DDEAB01F-9A91-4D5B-8836-BDBBF210D6AA}"/>
    <cellStyle name="style1675342365012" xfId="1309" xr:uid="{8D587758-F9EA-459B-8AF4-513938622EF9}"/>
    <cellStyle name="style1675342365043" xfId="1304" xr:uid="{68A45708-A273-4074-B76E-D4017C427004}"/>
    <cellStyle name="style1675342365074" xfId="1310" xr:uid="{3C05AACF-766C-4B0C-9D24-FE4436046FE3}"/>
    <cellStyle name="style1675342365106" xfId="1363" xr:uid="{342A5AA5-033F-4FB2-833F-8298F6E9AD3F}"/>
    <cellStyle name="style1675342365137" xfId="1364" xr:uid="{95AF5BE1-C396-4CF7-9843-8CA6D9D568B0}"/>
    <cellStyle name="style1675342365168" xfId="1365" xr:uid="{7ECA7614-529F-4440-A728-1FBA85AF9448}"/>
    <cellStyle name="style1675342365199" xfId="1366" xr:uid="{415E9E46-2FB4-453A-B75C-6ED428ED9AA9}"/>
    <cellStyle name="style1675342365231" xfId="1367" xr:uid="{AE38B842-F0BA-4DE9-80E0-7F70810102ED}"/>
    <cellStyle name="style1675342365324" xfId="1369" xr:uid="{EAC2F0CE-DACF-40D1-9E9C-591D794B6E81}"/>
    <cellStyle name="style1675342365355" xfId="1370" xr:uid="{05EB2E1E-E058-4356-A341-8BC5EB0DDA05}"/>
    <cellStyle name="style1675342365387" xfId="1371" xr:uid="{655286A1-7B8F-4E93-85BD-B25327AA37EB}"/>
    <cellStyle name="style1675342365418" xfId="1372" xr:uid="{BEB2CE31-441A-4BCC-8117-F4B32ED7A152}"/>
    <cellStyle name="style1675342417219" xfId="1311" xr:uid="{18E475EA-5497-4ED7-906E-43E619890771}"/>
    <cellStyle name="style1675342417344" xfId="1315" xr:uid="{F09C0A09-434E-469C-95D3-7C534F5F33F7}"/>
    <cellStyle name="style1675342417391" xfId="1408" xr:uid="{136FC3C2-5688-410E-90A5-7A45EAE51209}"/>
    <cellStyle name="style1675342417422" xfId="1410" xr:uid="{A4AD69BC-EF57-416D-8ED8-493F1E22B46F}"/>
    <cellStyle name="style1675342417453" xfId="1312" xr:uid="{D171FF48-A4CE-4BC7-A1F1-27C329C97C47}"/>
    <cellStyle name="style1675342417484" xfId="1313" xr:uid="{4324937E-0165-4C17-BE00-1F64800F3813}"/>
    <cellStyle name="style1675342417516" xfId="1316" xr:uid="{EB820359-3A4D-4833-92A1-904F2E2CB174}"/>
    <cellStyle name="style1675342417547" xfId="1409" xr:uid="{F8664F3D-C942-4C5E-8F58-6FCC1892C470}"/>
    <cellStyle name="style1675342458834" xfId="1373" xr:uid="{73E209DD-DBE4-4630-8C50-5AB52780AA32}"/>
    <cellStyle name="style1675342458866" xfId="1374" xr:uid="{CDCB4048-F4B2-4913-93FD-EC3AB7118493}"/>
    <cellStyle name="style1675342458881" xfId="1375" xr:uid="{48E4462F-C2AD-4E01-9714-17DDF3A38158}"/>
    <cellStyle name="style1675342458912" xfId="1376" xr:uid="{0201B04E-616F-4C23-BFEB-1DF48676710E}"/>
    <cellStyle name="style1675342458944" xfId="1377" xr:uid="{77B6D5E7-CF7C-456F-BB96-0F40AF97938E}"/>
    <cellStyle name="style1675342458975" xfId="1378" xr:uid="{983894E2-7D06-467A-8E08-E0FB71CF110D}"/>
    <cellStyle name="style1675342459006" xfId="1379" xr:uid="{4A7523AC-4A25-48FB-BF09-2B3141F28FE9}"/>
    <cellStyle name="style1675342459037" xfId="1380" xr:uid="{4FB0C9FD-3ABE-4C19-9CB7-2A060791AFFD}"/>
    <cellStyle name="style1675342459084" xfId="1381" xr:uid="{AA8AC947-898B-4824-BE70-BC316144B05B}"/>
    <cellStyle name="style1675342459115" xfId="1382" xr:uid="{3DD54B08-9D78-47FF-86A4-333193B8873C}"/>
    <cellStyle name="style1675342459147" xfId="1383" xr:uid="{B5C9C8E4-772A-4F2D-A517-C3D02F676682}"/>
    <cellStyle name="style1675342459178" xfId="1384" xr:uid="{0BD593D0-CC1F-4DF1-86DD-527E64179E5E}"/>
    <cellStyle name="style1675342459225" xfId="1385" xr:uid="{5FDDC958-0C60-409A-BD3E-7F5A71C1408A}"/>
    <cellStyle name="style1675342480142" xfId="1386" xr:uid="{DDCED7B8-0285-46B9-948A-230A7D044592}"/>
    <cellStyle name="style1675342480173" xfId="1387" xr:uid="{CF5D112C-529D-4982-9A3F-4A220294DCF8}"/>
    <cellStyle name="style1675342480204" xfId="1388" xr:uid="{D574465C-E411-479B-A348-8ACB8DA76FE4}"/>
    <cellStyle name="style1675342480236" xfId="1389" xr:uid="{FE876E17-2E03-4A05-8CE7-78037A7D760A}"/>
    <cellStyle name="style1675342480267" xfId="1279" xr:uid="{6A09396C-C279-4239-8BC0-0669AAD7B3D0}"/>
    <cellStyle name="style1675342480298" xfId="1280" xr:uid="{75E798C5-C11B-4A12-BC85-A18331C1E67D}"/>
    <cellStyle name="style1675342480329" xfId="1276" xr:uid="{5AEE1D62-950C-4C7C-A8F2-C625EB2DEDFD}"/>
    <cellStyle name="style1675342480376" xfId="1277" xr:uid="{5F359DE7-2CF3-4155-87F5-19978E2FD888}"/>
    <cellStyle name="style1675342480408" xfId="1278" xr:uid="{B3F159DC-7CEF-4FBB-906E-CFAACCF83C29}"/>
    <cellStyle name="style1675342480439" xfId="1282" xr:uid="{59C8FAB8-471D-471D-9510-573B68032782}"/>
    <cellStyle name="style1675342480470" xfId="1283" xr:uid="{204FAF0D-C87C-4637-A34F-FB9CB6044434}"/>
    <cellStyle name="style1675342480486" xfId="1281" xr:uid="{DF34ECAE-6E74-46FF-8FD4-FC6FCA0D242F}"/>
    <cellStyle name="style1680595569724" xfId="802" xr:uid="{7982DF8F-E86D-4361-9922-EA0A1469B088}"/>
    <cellStyle name="style1680595569755" xfId="803" xr:uid="{FA95D175-589E-4D17-A288-F366560714CF}"/>
    <cellStyle name="style1680595569802" xfId="804" xr:uid="{B43A4D2C-3522-4816-BE57-2A22427BE372}"/>
    <cellStyle name="style1680595569833" xfId="805" xr:uid="{96ED7A09-E97A-4117-BF50-4D24537AB4EC}"/>
    <cellStyle name="style1680595569864" xfId="806" xr:uid="{B5313215-12E3-4221-A533-002F055BEDAD}"/>
    <cellStyle name="style1680595569911" xfId="807" xr:uid="{B7CFA693-A163-409A-86A6-C8C1959771CF}"/>
    <cellStyle name="style1685681392653" xfId="808" xr:uid="{98BD295D-3071-4B48-B919-4E0C9C81A79B}"/>
    <cellStyle name="style1685681392700" xfId="809" xr:uid="{F65B1BB3-03D8-4A96-ADD6-DC2A9BB747D6}"/>
    <cellStyle name="style1685681392731" xfId="810" xr:uid="{7B79CEF1-A014-4224-8C37-DD93F88AC3B6}"/>
    <cellStyle name="style1685681392778" xfId="811" xr:uid="{2EE8A2C1-33AA-42A0-8267-CF42A31F06B7}"/>
    <cellStyle name="style1685681392809" xfId="812" xr:uid="{4AC4FF09-9D76-423D-9C1D-5E9DBFD096D0}"/>
    <cellStyle name="style1685681392856" xfId="813" xr:uid="{20C61C69-522D-41DA-8484-8A39E9C3ABDB}"/>
    <cellStyle name="style1696411253106" xfId="814" xr:uid="{000AFF25-1248-4A35-8C6F-826C73B9A772}"/>
    <cellStyle name="style1696411253153" xfId="815" xr:uid="{02E549E3-9D60-4DEE-A150-C3931EFC0D5F}"/>
    <cellStyle name="style1696411253200" xfId="816" xr:uid="{3B14D233-BB94-460D-B965-42B7F8E9665C}"/>
    <cellStyle name="style1696411253231" xfId="817" xr:uid="{36F24230-FFDC-49EF-A365-2C1686AB52CF}"/>
    <cellStyle name="style1696411253278" xfId="818" xr:uid="{4EFCBC99-A127-43CE-9072-14B2FC09D29F}"/>
    <cellStyle name="style1696411253325" xfId="819" xr:uid="{17D0599C-EE55-4D16-8FF3-A268D788DD08}"/>
    <cellStyle name="style1696411253371" xfId="820" xr:uid="{F0663983-FDE7-47D4-86B0-2986DF7D0AF4}"/>
    <cellStyle name="style1696411253418" xfId="821" xr:uid="{32D71C93-5500-430E-BE13-955A64AD9F0C}"/>
    <cellStyle name="style1696411253450" xfId="822" xr:uid="{C018EB6D-9CEC-47F3-A399-61F77774AD8D}"/>
    <cellStyle name="style1696411253496" xfId="823" xr:uid="{D7CFCB4D-0392-4A13-B9D5-52A395FA47F2}"/>
    <cellStyle name="style1696411253543" xfId="824" xr:uid="{15FC921B-8A68-443A-80F7-22F81047C8D0}"/>
    <cellStyle name="style1696411253575" xfId="825" xr:uid="{D4B4FA16-4D98-4191-A86E-92AC3D50A9C8}"/>
    <cellStyle name="style1696411253653" xfId="826" xr:uid="{D113F232-E82F-4E6B-85A1-F6F761BBA7D8}"/>
    <cellStyle name="style1696411253715" xfId="827" xr:uid="{B9F81239-9A11-49CA-BFC6-0084CE498582}"/>
    <cellStyle name="style1696411253762" xfId="828" xr:uid="{10068B42-70C5-4C12-98F4-FCA968EFBD0E}"/>
    <cellStyle name="style1696411253793" xfId="829" xr:uid="{3580B7D3-C348-4744-BD3E-CD7B2C4B156D}"/>
    <cellStyle name="style1696411253840" xfId="830" xr:uid="{904E8026-016F-4956-A975-D8A0D6EF8241}"/>
    <cellStyle name="style1696411253887" xfId="831" xr:uid="{B2F8C76E-47FB-49F1-AE6D-BB75F46BD480}"/>
    <cellStyle name="style1696411253934" xfId="832" xr:uid="{887BD564-25B1-49FD-93CB-AE1A873EB421}"/>
    <cellStyle name="style1696411845808" xfId="833" xr:uid="{9E637E51-B3B8-4070-B927-F302CA2B9A76}"/>
    <cellStyle name="style1696411845839" xfId="834" xr:uid="{D4BFE1FE-126D-4413-9938-42B8C29D343B}"/>
    <cellStyle name="style1696411845886" xfId="835" xr:uid="{8D43EF42-9DDA-4424-B3D9-929DA4B12E72}"/>
    <cellStyle name="style1696411845917" xfId="836" xr:uid="{B20BFAB9-C43C-435D-8432-623E0E265ED8}"/>
    <cellStyle name="style1696411845964" xfId="837" xr:uid="{DF6E60DE-85CD-488E-B02D-8DEA7BD0B7EA}"/>
    <cellStyle name="style1696411845995" xfId="838" xr:uid="{14C49EAB-500F-489E-B25F-FE41D14803A5}"/>
    <cellStyle name="style1696411846042" xfId="839" xr:uid="{D493EF2D-1CF9-4EEB-93C1-12B1B55699EC}"/>
    <cellStyle name="style1696411846073" xfId="840" xr:uid="{3EFFD02B-1C3B-4477-BEA7-D8813FAA929F}"/>
    <cellStyle name="style1696411846120" xfId="841" xr:uid="{9108BBA1-6DB1-41AF-AAE8-5621BA9DE2EA}"/>
    <cellStyle name="style1696411846167" xfId="842" xr:uid="{81CD3167-6ABB-4787-A5E6-BEE66D9E769C}"/>
    <cellStyle name="style1696411846198" xfId="843" xr:uid="{C527E8FF-E78D-4402-A2FF-B6A685F8CE51}"/>
    <cellStyle name="style1696411846245" xfId="844" xr:uid="{FC55CA1A-CCE3-46F4-8C88-5BCDA1462E3B}"/>
    <cellStyle name="style1696411914963" xfId="948" xr:uid="{463C5784-9F65-4C0E-B549-DB650010CF0D}"/>
    <cellStyle name="style1696411915010" xfId="951" xr:uid="{29DC076E-0E14-4352-B0B9-3E0C9220B2B3}"/>
    <cellStyle name="style1696411915042" xfId="954" xr:uid="{BA018EA3-4569-4489-9110-A4484FBD4B97}"/>
    <cellStyle name="style1696411915088" xfId="949" xr:uid="{8AB8CC32-3115-4D38-B394-AEA7A4366420}"/>
    <cellStyle name="style1696411915120" xfId="950" xr:uid="{3204E192-FCD1-4AEA-AAA7-314916F197E0}"/>
    <cellStyle name="style1696411915167" xfId="952" xr:uid="{9E45F361-6DE0-4823-8021-0E35C288A512}"/>
    <cellStyle name="style1696411915198" xfId="953" xr:uid="{48E737D6-5CB9-4BBC-B0E3-FDD51753DD70}"/>
    <cellStyle name="style1696411915245" xfId="955" xr:uid="{5A070CD1-B823-4BBE-BC2A-C6E0F6C6C73A}"/>
    <cellStyle name="style1696411915276" xfId="956" xr:uid="{7B90C895-0BBE-4157-A1AB-9279B900F912}"/>
    <cellStyle name="style1696411967904" xfId="957" xr:uid="{E3DBB563-C95D-4FE0-94DC-6D53B1311E78}"/>
    <cellStyle name="style1696411967951" xfId="960" xr:uid="{81D4986A-7068-4247-A9F2-EF09326F358B}"/>
    <cellStyle name="style1696411967998" xfId="963" xr:uid="{81DFADC2-2531-4267-97F4-CE10C1E5EE05}"/>
    <cellStyle name="style1696411968029" xfId="958" xr:uid="{A8F249B1-5276-4A73-8241-0BC6D33990D4}"/>
    <cellStyle name="style1696411968076" xfId="959" xr:uid="{E4331C28-25A5-4A02-BCD8-5D599B75E738}"/>
    <cellStyle name="style1696411968107" xfId="961" xr:uid="{CE4BC07E-E3C1-4D0E-B869-D4488C501CE4}"/>
    <cellStyle name="style1696411968154" xfId="962" xr:uid="{B375E6CD-49FE-4BC9-91D8-85BE9BB8AE7E}"/>
    <cellStyle name="style1696411968201" xfId="964" xr:uid="{F1A63F29-762E-4C79-93B7-E32E73D60A5E}"/>
    <cellStyle name="style1696411968232" xfId="965" xr:uid="{8E898086-89DE-459C-A9DC-A07C6B7A3A55}"/>
    <cellStyle name="style1696412020267" xfId="966" xr:uid="{3B9BF3D3-1AA9-4494-89E6-8061C397068B}"/>
    <cellStyle name="style1696412020298" xfId="969" xr:uid="{DDE39774-1474-4709-83D5-C42C0FC6CAD0}"/>
    <cellStyle name="style1696412020345" xfId="972" xr:uid="{55CE21BD-0176-45E3-A4A7-989ADE92A64C}"/>
    <cellStyle name="style1696412020392" xfId="967" xr:uid="{D8B792F5-FB27-46DA-A9DA-B2517A6F6C75}"/>
    <cellStyle name="style1696412020423" xfId="968" xr:uid="{58C79319-8D19-42C1-9D8A-2389490A2B6B}"/>
    <cellStyle name="style1696412020454" xfId="970" xr:uid="{E3F9E255-8516-4A35-9F5C-877C671B5181}"/>
    <cellStyle name="style1696412020501" xfId="971" xr:uid="{2E8C469F-F56F-4E72-8D9F-09C92B3AEFBD}"/>
    <cellStyle name="style1696412020532" xfId="973" xr:uid="{62575216-E889-48CD-95A0-3F909F377D94}"/>
    <cellStyle name="style1696412020579" xfId="974" xr:uid="{B597CC27-5DE7-4A61-9130-597A9EC8C351}"/>
    <cellStyle name="style1696412094593" xfId="845" xr:uid="{6EB3819A-D598-41A5-8F7C-5FA411F28D16}"/>
    <cellStyle name="style1696412094640" xfId="846" xr:uid="{BD7D7DA8-D9C8-474B-A3B2-783DA52F2270}"/>
    <cellStyle name="style1696412094671" xfId="847" xr:uid="{72FF084A-D118-479A-9FDA-7E0480034179}"/>
    <cellStyle name="style1696412094703" xfId="848" xr:uid="{AA78ED20-0F51-4E11-9511-0B4F0B4E83A0}"/>
    <cellStyle name="style1696412094734" xfId="849" xr:uid="{FDAFF891-18CF-4580-B760-355094DA39CF}"/>
    <cellStyle name="style1696412094781" xfId="850" xr:uid="{5DAEC108-89AE-48E4-9942-B71B12512215}"/>
    <cellStyle name="style1696412094812" xfId="851" xr:uid="{7DAB77F8-5F84-47C9-95A5-9575B049E5AE}"/>
    <cellStyle name="style1696412094843" xfId="852" xr:uid="{A4DC2911-DE5A-462C-8787-DEB026BC8429}"/>
    <cellStyle name="style1696412094874" xfId="853" xr:uid="{FD3E871A-4FAC-416D-9B49-BA830670F56C}"/>
    <cellStyle name="style1696412094906" xfId="854" xr:uid="{A3CCB666-49BA-435E-8FB1-ED037B3BCB4E}"/>
    <cellStyle name="style1696412094968" xfId="855" xr:uid="{8F45B087-01BB-4913-A82D-D02104F3ECAB}"/>
    <cellStyle name="style1696412095015" xfId="856" xr:uid="{859C4B07-9D20-4BAF-AC90-3CD9D2534213}"/>
    <cellStyle name="style1696412095046" xfId="857" xr:uid="{59ACF3B7-0F07-443B-854B-869D24EB8A2A}"/>
    <cellStyle name="style1696412095093" xfId="858" xr:uid="{EC59B3E6-CA88-46D1-AC7B-D5B6B9E65B2D}"/>
    <cellStyle name="style1696412095124" xfId="859" xr:uid="{0B74E257-9977-4DC3-A6B7-3E5CDE352357}"/>
    <cellStyle name="style1696412137489" xfId="860" xr:uid="{1393FB73-A1B0-4749-9306-E2FF0D327E22}"/>
    <cellStyle name="style1696412137521" xfId="866" xr:uid="{80EE6469-F474-4474-928B-D306306F55A8}"/>
    <cellStyle name="style1696412137568" xfId="872" xr:uid="{D5B4EB4B-51D2-4F06-87D3-C489C7FDD9E9}"/>
    <cellStyle name="style1696412137614" xfId="861" xr:uid="{EFB2BDCB-6171-46C1-AC26-86D7C97B43C4}"/>
    <cellStyle name="style1696412137646" xfId="862" xr:uid="{7BDCE01E-AD08-4C09-B3E2-516F40D00CAC}"/>
    <cellStyle name="style1696412137677" xfId="863" xr:uid="{87C9C784-6088-437B-AC01-F23E79A3AB41}"/>
    <cellStyle name="style1696412137708" xfId="864" xr:uid="{2CD02C34-64E4-40C3-B60E-207F9334A032}"/>
    <cellStyle name="style1696412137755" xfId="865" xr:uid="{00662E34-38BB-48C5-A01B-32E0F4316EDC}"/>
    <cellStyle name="style1696412137786" xfId="867" xr:uid="{66CD43F9-433A-4192-8FD2-70809A3B29F3}"/>
    <cellStyle name="style1696412137818" xfId="868" xr:uid="{ECF2E986-4BDB-4622-973F-D62822824E39}"/>
    <cellStyle name="style1696412137849" xfId="869" xr:uid="{BD050F72-5524-406A-AE5A-3C689E6CFD7D}"/>
    <cellStyle name="style1696412137880" xfId="870" xr:uid="{CF9DD1DD-FB6B-432F-B7E1-88834462B629}"/>
    <cellStyle name="style1696412137911" xfId="871" xr:uid="{0CA98504-C167-4D30-8291-B13CC00617EF}"/>
    <cellStyle name="style1696412138052" xfId="873" xr:uid="{B4B00D64-75BD-414D-BA84-1AEA599B677A}"/>
    <cellStyle name="style1696412138083" xfId="874" xr:uid="{73E86903-94B4-4378-A263-784C3703546F}"/>
    <cellStyle name="style1696412138114" xfId="875" xr:uid="{80AEB5CC-0677-4426-874E-AFD30CD958E3}"/>
    <cellStyle name="style1696412138161" xfId="876" xr:uid="{70AA6E04-33D4-4338-9A75-AB96F1F74B02}"/>
    <cellStyle name="style1696412138192" xfId="877" xr:uid="{ABD4755C-7E71-452E-BADD-47108F6C9714}"/>
    <cellStyle name="style1696412266022" xfId="878" xr:uid="{239618CF-B940-44ED-8E67-93E32E80A323}"/>
    <cellStyle name="style1696412266069" xfId="884" xr:uid="{AAE7014F-3D6C-44E8-A7BB-F5B1913610B4}"/>
    <cellStyle name="style1696412266116" xfId="891" xr:uid="{28477459-865E-4129-943E-4A5121A54894}"/>
    <cellStyle name="style1696412266147" xfId="879" xr:uid="{EB3F20F6-A3E1-4F5A-91CB-785AA69D278B}"/>
    <cellStyle name="style1696412266178" xfId="880" xr:uid="{9118C327-89D0-4C8D-822A-81BAEC48472C}"/>
    <cellStyle name="style1696412266209" xfId="881" xr:uid="{D1EAE5F4-6C25-47B6-8DD5-99C74E1540DF}"/>
    <cellStyle name="style1696412266241" xfId="882" xr:uid="{DCAA2B14-0BC6-49E0-8381-2A649DCA4214}"/>
    <cellStyle name="style1696412266287" xfId="883" xr:uid="{88DBD591-5546-482F-A0B1-18AA5BAA7604}"/>
    <cellStyle name="style1696412266319" xfId="885" xr:uid="{FE58EDAE-722D-4061-A9F0-675D18EC860E}"/>
    <cellStyle name="style1696412266350" xfId="886" xr:uid="{853F03E1-C27C-4102-9E2B-CEB9023B0775}"/>
    <cellStyle name="style1696412266381" xfId="887" xr:uid="{55F2B75C-56E3-4F69-909E-881BD6A60051}"/>
    <cellStyle name="style1696412266412" xfId="888" xr:uid="{DE48D5F1-858F-4F5A-AE18-59B612B84FEF}"/>
    <cellStyle name="style1696412266444" xfId="889" xr:uid="{C10CA4D8-E000-4D0F-AEBE-964075E6E4E3}"/>
    <cellStyle name="style1696412266491" xfId="890" xr:uid="{C7BC2775-98CC-43FA-9FC2-55E05B755C1E}"/>
    <cellStyle name="style1696412266584" xfId="892" xr:uid="{D04394BE-01D7-4274-8859-3B4BDCED9F8C}"/>
    <cellStyle name="style1696412266616" xfId="893" xr:uid="{7A21C7DA-34B5-4F9A-96E5-AB997DBC323D}"/>
    <cellStyle name="style1696412266647" xfId="894" xr:uid="{DB76048A-D36E-4396-AC9D-DE7B07DD8A24}"/>
    <cellStyle name="style1696412266678" xfId="895" xr:uid="{B814E8D8-5DD3-4C76-8D21-B23BA1F21549}"/>
    <cellStyle name="style1696412455712" xfId="896" xr:uid="{4B82B40A-2FB0-4B30-913B-AB1AD1654162}"/>
    <cellStyle name="style1696412455852" xfId="897" xr:uid="{04215943-279B-4627-8A1B-E7D297331EA3}"/>
    <cellStyle name="style1696412455884" xfId="898" xr:uid="{3AFD62AA-E511-479E-A257-22ACBC08B111}"/>
    <cellStyle name="style1696412455915" xfId="899" xr:uid="{DA43CDA1-A982-48DD-BAAD-E2229E9F1EEE}"/>
    <cellStyle name="style1696412455962" xfId="900" xr:uid="{78F3C443-5894-43FD-90C0-0145826B3FAE}"/>
    <cellStyle name="style1696412455993" xfId="901" xr:uid="{8E9693E0-1F1A-43DA-AEC3-F7E0F222B088}"/>
    <cellStyle name="style1696412456024" xfId="902" xr:uid="{FF09981E-E189-4BFA-B501-070ACDE2DE86}"/>
    <cellStyle name="style1696412456071" xfId="903" xr:uid="{CFE0CD67-660E-43BB-9631-C9BF8290F0BB}"/>
    <cellStyle name="style1696412458446" xfId="904" xr:uid="{2DB1ED44-B637-4853-A1E0-EF6D8A20B027}"/>
    <cellStyle name="style1696412458602" xfId="905" xr:uid="{9ED8F7E7-27F5-4B03-B1C8-14EF690B8727}"/>
    <cellStyle name="style1696412458633" xfId="906" xr:uid="{E8902B4B-5013-4E57-88D8-87B15C9D0A80}"/>
    <cellStyle name="style1696412458664" xfId="907" xr:uid="{E385AFDC-7EDF-4CAB-B2D4-8DD708FB9AC1}"/>
    <cellStyle name="style1696412458696" xfId="908" xr:uid="{638373AE-DA35-4223-92EF-317DD8645C7A}"/>
    <cellStyle name="style1696412458727" xfId="909" xr:uid="{C2C521A6-79F2-4391-B5C6-0439E486F44B}"/>
    <cellStyle name="style1696412458774" xfId="910" xr:uid="{79C03755-E0F1-4ABD-930D-1317310BD319}"/>
    <cellStyle name="style1696412458820" xfId="911" xr:uid="{7E7F47B7-1AF6-44FF-BAC2-5A8D81A76480}"/>
    <cellStyle name="style1696412541223" xfId="912" xr:uid="{6E7D3BAD-094D-4552-B064-2F286B5E94B3}"/>
    <cellStyle name="style1696412541254" xfId="913" xr:uid="{5E233962-9856-471A-8B0F-9E56FC8E7AEE}"/>
    <cellStyle name="style1696412541286" xfId="914" xr:uid="{00E65140-15D3-4BB6-9EC5-F7D9598A9C77}"/>
    <cellStyle name="style1696412541317" xfId="915" xr:uid="{8029224C-69BE-429C-9506-BFE0BA0A0161}"/>
    <cellStyle name="style1696412541348" xfId="916" xr:uid="{16A14F06-BEAF-4DEE-9301-6F37F730B22D}"/>
    <cellStyle name="style1696412541379" xfId="917" xr:uid="{2C0FA2D9-1AF6-4400-9081-B9023E206B60}"/>
    <cellStyle name="style1696412541426" xfId="918" xr:uid="{6E58C8FE-3E33-4CBA-B973-0FCCB81A42AA}"/>
    <cellStyle name="style1696412541457" xfId="919" xr:uid="{2812AA1A-6141-41A7-8055-F88D60392B90}"/>
    <cellStyle name="style1696412541489" xfId="920" xr:uid="{5A2510B4-AFE8-422F-B1DB-A3A20EB4CE7C}"/>
    <cellStyle name="style1696412541520" xfId="921" xr:uid="{2E9A052E-3060-4A2D-86A4-D42272D13D5E}"/>
    <cellStyle name="style1696412541567" xfId="922" xr:uid="{D3BA5CD3-0BAC-4502-9D33-909C044D5EDB}"/>
    <cellStyle name="style1696412541598" xfId="923" xr:uid="{9806262F-8875-42A6-AE77-8F43942220E7}"/>
    <cellStyle name="style1696412541660" xfId="924" xr:uid="{1E9347E5-4268-48EC-99E4-6EB8BD695512}"/>
    <cellStyle name="style1696412541692" xfId="925" xr:uid="{9E522E82-0DC9-4ECB-8393-8CE4B37682DC}"/>
    <cellStyle name="style1696412541723" xfId="926" xr:uid="{05ABFC3D-2102-40E8-A226-0334867D08FE}"/>
    <cellStyle name="style1696412541770" xfId="927" xr:uid="{63FB8EF6-28EF-485C-80C7-C073D698A04B}"/>
    <cellStyle name="style1696412541801" xfId="928" xr:uid="{19ADB2B6-44D5-4017-9795-33BA3F8FEA8B}"/>
    <cellStyle name="style1696412541832" xfId="929" xr:uid="{A33144F2-0A13-4E3A-B009-EE064B1C0A75}"/>
    <cellStyle name="style1696412607786" xfId="930" xr:uid="{F9749416-8594-4CD2-9430-7EFF9244473F}"/>
    <cellStyle name="style1696412607817" xfId="931" xr:uid="{20D3F21D-7307-411D-84DF-C047281C7DF2}"/>
    <cellStyle name="style1696412607864" xfId="932" xr:uid="{4610E2B7-EA2F-45E1-8EA5-63EB901490D7}"/>
    <cellStyle name="style1696412607895" xfId="933" xr:uid="{B7AB0915-1F7F-4739-98DD-C1A0153421D2}"/>
    <cellStyle name="style1696412607926" xfId="934" xr:uid="{E22B7D0E-4F51-4E7D-8699-AD70BA3AE3D1}"/>
    <cellStyle name="style1696412607957" xfId="935" xr:uid="{61252A50-05BE-4CBA-93B8-6F196817818C}"/>
    <cellStyle name="style1696412608004" xfId="936" xr:uid="{A3F59478-2948-4AE8-92CA-82C97DF29081}"/>
    <cellStyle name="style1696412608036" xfId="937" xr:uid="{624B2AD1-C09E-4447-ACAE-D14E2E5C3265}"/>
    <cellStyle name="style1696412608067" xfId="938" xr:uid="{34E5722D-4624-46A5-8AAB-669698020F2D}"/>
    <cellStyle name="style1696412608098" xfId="939" xr:uid="{EA97E514-736D-461C-AD77-C492956A3F91}"/>
    <cellStyle name="style1696412608129" xfId="940" xr:uid="{B271F9A8-D945-4070-A7CD-CE8B9E3772AE}"/>
    <cellStyle name="style1696412608161" xfId="941" xr:uid="{224365B3-920F-44C0-8ADC-C75234FB0273}"/>
    <cellStyle name="style1696412608239" xfId="942" xr:uid="{5624AD56-C2C3-45F1-B867-3FB609D16D0C}"/>
    <cellStyle name="style1696412608270" xfId="943" xr:uid="{3BD7713B-19FB-42FE-9590-8581F9CE207E}"/>
    <cellStyle name="style1696412608301" xfId="944" xr:uid="{4913E3B4-405A-40AA-99FA-59FE7DDC60B1}"/>
    <cellStyle name="style1696412608348" xfId="945" xr:uid="{CE9EA3CA-E2B9-4424-9A17-C96F5A575B11}"/>
    <cellStyle name="style1696412608395" xfId="946" xr:uid="{A39AA5BD-CD37-4D69-BD5C-1F36726A7304}"/>
    <cellStyle name="style1696412608426" xfId="947" xr:uid="{85F41CD1-3793-4621-9590-17843BA21FD6}"/>
    <cellStyle name="style1699012638784" xfId="975" xr:uid="{CAA1F631-42AA-43FF-9EC0-A1986F3A4D08}"/>
    <cellStyle name="style1699012638799" xfId="976" xr:uid="{19B89D53-D0D8-41B5-BA50-20A913507DA4}"/>
    <cellStyle name="style1699012638815" xfId="977" xr:uid="{B11E22FF-8EA3-4F4E-9324-1E8F89F17ADD}"/>
    <cellStyle name="style1699012638846" xfId="978" xr:uid="{3A856E01-5E8B-4E06-B556-9C93A8AE9AD6}"/>
    <cellStyle name="style1699012638863" xfId="979" xr:uid="{DB17DB33-1C97-43D0-9454-D71F4986CEB9}"/>
    <cellStyle name="style1699012638879" xfId="980" xr:uid="{4C79E51C-49E6-4B65-BD24-50F5ACE64871}"/>
    <cellStyle name="style1699012638894" xfId="981" xr:uid="{5D51614F-A959-4E27-AF45-9FB408224203}"/>
    <cellStyle name="style1699012638925" xfId="982" xr:uid="{C5F62503-21C5-4CF7-96EB-581C95DD0D42}"/>
    <cellStyle name="style1699012638941" xfId="983" xr:uid="{4D8E2274-5D5A-4D3C-950C-685D4C57CA07}"/>
    <cellStyle name="style1699012638957" xfId="984" xr:uid="{B29D6812-D6E3-44C6-AB80-B2E0C3F47353}"/>
    <cellStyle name="style1699012638972" xfId="985" xr:uid="{C2D979FC-20CF-4F4C-B2AC-4288D620C139}"/>
    <cellStyle name="style1699012639003" xfId="986" xr:uid="{18C0E058-C9AA-497D-9AE9-E7F384620553}"/>
    <cellStyle name="style1699012639019" xfId="987" xr:uid="{879CA75E-EF4F-4951-9FC4-7F6B0694AFAA}"/>
    <cellStyle name="style1699012639066" xfId="988" xr:uid="{6F67E1DB-D18E-4E5A-A8E6-FCCC1BE5D8C6}"/>
    <cellStyle name="style1699012639097" xfId="989" xr:uid="{A1BCC9CB-C70E-4EFF-9BCD-8C28B4284ECF}"/>
    <cellStyle name="style1699012639113" xfId="990" xr:uid="{2E26E477-C28A-4C5F-AC03-924246E84985}"/>
    <cellStyle name="style1699012639128" xfId="991" xr:uid="{23C0A980-3C3C-4A97-BED2-3D82F626EAE5}"/>
    <cellStyle name="style1699012639160" xfId="992" xr:uid="{53A9F4F3-FC93-4FF6-B613-B8D157AC2982}"/>
    <cellStyle name="style1699012639175" xfId="993" xr:uid="{79CC0EA6-C1A5-496C-A146-2D35F6D4DDDB}"/>
    <cellStyle name="style1699013419451" xfId="994" xr:uid="{997B7869-B57E-42B7-98CF-00C73DC3B517}"/>
    <cellStyle name="style1699013419466" xfId="995" xr:uid="{B394B24D-10E4-48F9-AD62-D9C1E0D59D49}"/>
    <cellStyle name="style1699013419482" xfId="996" xr:uid="{085135AD-1635-4AE9-BB7F-F7E7D7735EBD}"/>
    <cellStyle name="style1699013419498" xfId="997" xr:uid="{76EDD2CF-2CB6-424A-8A3B-6CC424B47320}"/>
    <cellStyle name="style1699013419529" xfId="998" xr:uid="{89FD95F5-CF74-4E28-9451-C1BA5A1957DE}"/>
    <cellStyle name="style1699013419544" xfId="999" xr:uid="{50A9F51E-E207-44C9-9F63-78AF2084404A}"/>
    <cellStyle name="style1699013419560" xfId="1000" xr:uid="{AB10E771-2F8D-42F5-8BBF-E4E997233240}"/>
    <cellStyle name="style1699013419576" xfId="1001" xr:uid="{BC464532-6AA4-44B0-8CC1-D4FCA4936AC6}"/>
    <cellStyle name="style1699013419591" xfId="1002" xr:uid="{A41213AA-298B-459F-B60A-DEE0F25EF27E}"/>
    <cellStyle name="style1699013419607" xfId="1003" xr:uid="{1F3818AD-4BAD-4CEA-9E06-1DC1EE66800E}"/>
    <cellStyle name="style1699013419623" xfId="1004" xr:uid="{4433BEC7-D2CC-4003-9CF5-4C2F34A4A5EC}"/>
    <cellStyle name="style1699013419654" xfId="1005" xr:uid="{87A00D02-D023-43FA-AFB8-12D8C439A000}"/>
    <cellStyle name="style1699013523968" xfId="1105" xr:uid="{DF5537E3-5353-4930-BE8F-449E8B7805DF}"/>
    <cellStyle name="style1699013523983" xfId="1108" xr:uid="{F7C40A61-BED5-4A69-B74A-B98389E5B0E1}"/>
    <cellStyle name="style1699013523999" xfId="1111" xr:uid="{719F7EC7-32AF-419C-B9B5-ABCAF7C6B662}"/>
    <cellStyle name="style1699013524030" xfId="1106" xr:uid="{11D55E42-1C44-44BE-8AFB-1A44EF703878}"/>
    <cellStyle name="style1699013524046" xfId="1107" xr:uid="{E344DA3C-8E92-4EB4-9C52-2A48084B1BC3}"/>
    <cellStyle name="style1699013524062" xfId="1109" xr:uid="{7CE137FC-7D55-4A95-90C5-8A62CA55AEE0}"/>
    <cellStyle name="style1699013524080" xfId="1110" xr:uid="{A2D493F2-3215-4F1B-B3D5-6A0AEAB3107E}"/>
    <cellStyle name="style1699013524096" xfId="1112" xr:uid="{8920588B-4909-4DAE-9EBB-63F170C83A8B}"/>
    <cellStyle name="style1699013524112" xfId="1113" xr:uid="{6448A098-4BCB-4AF8-A340-5A8D90272B0C}"/>
    <cellStyle name="style1699013603964" xfId="1114" xr:uid="{DCEDFEFE-8982-473F-B6DD-925A0046234B}"/>
    <cellStyle name="style1699013603995" xfId="1117" xr:uid="{70DBEC2D-2818-465E-865E-E57CF8CCD75B}"/>
    <cellStyle name="style1699013604010" xfId="1120" xr:uid="{9E1D3922-E228-4530-AB2B-C9136AE03ACD}"/>
    <cellStyle name="style1699013604027" xfId="1115" xr:uid="{B1433B1E-A9B9-44A4-AE6C-E36092575B64}"/>
    <cellStyle name="style1699013604048" xfId="1116" xr:uid="{D23E2225-5CFC-4EC3-B99B-D50EC0E3EDAC}"/>
    <cellStyle name="style1699013604064" xfId="1118" xr:uid="{E061A23D-1AC6-459E-86D3-4C67DC782DD5}"/>
    <cellStyle name="style1699013604095" xfId="1119" xr:uid="{CF784E9D-0811-4898-B351-734D383F8DFE}"/>
    <cellStyle name="style1699013604111" xfId="1121" xr:uid="{23C22007-3526-496F-8953-CA7D5E6111E5}"/>
    <cellStyle name="style1699013604126" xfId="1122" xr:uid="{22A96D45-A992-4F06-A471-BD0EBE286B92}"/>
    <cellStyle name="style1699013693546" xfId="1123" xr:uid="{B65DD2AF-304C-4AD6-8926-6CDC481FE5B8}"/>
    <cellStyle name="style1699013693577" xfId="1126" xr:uid="{754697CD-3D4E-4681-AC5D-691FC64EBDBE}"/>
    <cellStyle name="style1699013693593" xfId="1129" xr:uid="{55ADFF1D-C5A6-4936-B09F-F3141F11C4FD}"/>
    <cellStyle name="style1699013693609" xfId="1124" xr:uid="{B2948B38-2F2A-4714-B720-186761530422}"/>
    <cellStyle name="style1699013693624" xfId="1125" xr:uid="{D3766712-FC1F-4C12-B647-FCA9671FA133}"/>
    <cellStyle name="style1699013693640" xfId="1127" xr:uid="{0581D7FD-E19B-46EB-A438-3D95D342B2A5}"/>
    <cellStyle name="style1699013693672" xfId="1128" xr:uid="{565BA8FC-B7A5-4CF7-A47D-0C2A2B5DE244}"/>
    <cellStyle name="style1699013693679" xfId="1130" xr:uid="{C7A8F15F-0C24-44EF-819C-8FCDFF4E2B67}"/>
    <cellStyle name="style1699013693710" xfId="1131" xr:uid="{01661EAF-2281-4036-9492-D73A9D01C1F0}"/>
    <cellStyle name="style1699013790687" xfId="1006" xr:uid="{0A173FBD-468F-4BB1-BF5E-07F753E0E817}"/>
    <cellStyle name="style1699013790703" xfId="1007" xr:uid="{7D960AF8-F018-4E7D-A3A8-C4DD147D07D2}"/>
    <cellStyle name="style1699013790734" xfId="1008" xr:uid="{5A4437A0-AA06-4061-88EF-1B221CBD5D28}"/>
    <cellStyle name="style1699013790750" xfId="1009" xr:uid="{842D94F3-258C-456E-AEEC-1FB6C6E818CA}"/>
    <cellStyle name="style1699013790765" xfId="1010" xr:uid="{66713E44-8EC5-4A37-BE4E-2969F28FA7F8}"/>
    <cellStyle name="style1699013790781" xfId="1011" xr:uid="{8571F9C3-0362-4BED-A80B-62D3BC6D9DF5}"/>
    <cellStyle name="style1699013790797" xfId="1012" xr:uid="{FA07B2DA-965F-41D3-95DE-E451AE0A209C}"/>
    <cellStyle name="style1699013790812" xfId="1013" xr:uid="{C2D56B38-3AFA-4336-BCC5-55E6CFF97AFD}"/>
    <cellStyle name="style1699013790844" xfId="1014" xr:uid="{4B92F13B-BD9D-46C8-B517-63C1DEBDD7B0}"/>
    <cellStyle name="style1699013790859" xfId="1015" xr:uid="{A35771D7-4BC2-4DA1-9005-5FD595FAD342}"/>
    <cellStyle name="style1699013790890" xfId="1016" xr:uid="{C6674B9B-3F7E-4830-A528-C62E1DBE390C}"/>
    <cellStyle name="style1699013790906" xfId="1017" xr:uid="{58128826-B2CD-4A21-B9C6-38B595373BDC}"/>
    <cellStyle name="style1699013790922" xfId="1018" xr:uid="{8D306D25-108A-4184-9A43-021E65C604C7}"/>
    <cellStyle name="style1699013790937" xfId="1019" xr:uid="{13E51457-5775-44B5-BA17-357AE694D869}"/>
    <cellStyle name="style1699013790953" xfId="1020" xr:uid="{87F1D575-543C-4B05-B968-A870E8BD3148}"/>
    <cellStyle name="style1699013839517" xfId="1021" xr:uid="{40DB3A1E-99A2-4524-8714-A85C25EC2ECD}"/>
    <cellStyle name="style1699013839532" xfId="1027" xr:uid="{01C85495-33CB-44A6-9392-EB7A686D075A}"/>
    <cellStyle name="style1699013839579" xfId="1022" xr:uid="{3FB4B25A-2C97-4E3D-8FB7-2D3EAA52E840}"/>
    <cellStyle name="style1699013839595" xfId="1023" xr:uid="{8D2E3E3C-C6E1-4632-B287-C3950E13142B}"/>
    <cellStyle name="style1699013839610" xfId="1024" xr:uid="{CACE9CC8-0734-4876-9C13-308770B0DF70}"/>
    <cellStyle name="style1699013839626" xfId="1025" xr:uid="{F7F8F338-D22E-4D32-945D-61B1A6E11B0A}"/>
    <cellStyle name="style1699013839642" xfId="1026" xr:uid="{8CE85469-C1ED-472C-9B71-67E7E5A50844}"/>
    <cellStyle name="style1699013839665" xfId="1028" xr:uid="{0557E29F-2628-41AC-A7C8-E395A0DA9963}"/>
    <cellStyle name="style1699013839681" xfId="1029" xr:uid="{93D1399D-3606-4E41-BDDA-7AB7DE9491F4}"/>
    <cellStyle name="style1699013839696" xfId="1030" xr:uid="{460C94BF-DE08-4AB4-AF89-2503D416CE47}"/>
    <cellStyle name="style1699013839712" xfId="1031" xr:uid="{EB5B7D6F-9E45-44B3-B535-6DCE4B831FBE}"/>
    <cellStyle name="style1699013839728" xfId="1032" xr:uid="{85052164-84B3-4E34-881C-F1E96B7B9D34}"/>
    <cellStyle name="style1699013839790" xfId="1033" xr:uid="{1F8038A5-3B95-405E-9E6E-5110E103CAD5}"/>
    <cellStyle name="style1699013839806" xfId="1034" xr:uid="{AC40F804-9078-4AA8-BE28-5CE374E3855D}"/>
    <cellStyle name="style1699013839821" xfId="1035" xr:uid="{79E37837-EFC1-41BC-8AAA-EA19C6081139}"/>
    <cellStyle name="style1699013839837" xfId="1036" xr:uid="{9AA98586-6FDB-42A1-8895-B599DA2D064A}"/>
    <cellStyle name="style1699013839853" xfId="1037" xr:uid="{A13A0D7F-8F44-484F-B67F-C1DFB328F7FB}"/>
    <cellStyle name="style1699013976482" xfId="1038" xr:uid="{8B949737-3770-4BE3-9495-B2C29B37D9FB}"/>
    <cellStyle name="style1699013976498" xfId="1044" xr:uid="{FFF41A38-ED12-463C-87B8-D8BF6BBD798E}"/>
    <cellStyle name="style1699013976545" xfId="1039" xr:uid="{EE55203F-610C-484E-A0C4-2C43BD5014A6}"/>
    <cellStyle name="style1699013976560" xfId="1040" xr:uid="{2F73BB6D-8118-4926-85D1-102ECA55A0EB}"/>
    <cellStyle name="style1699013976576" xfId="1041" xr:uid="{9F0AD488-68B2-4C05-A86C-74EDFC382DC1}"/>
    <cellStyle name="style1699013976591" xfId="1042" xr:uid="{215F021C-4F4B-4E09-A8F8-6DF7CEC1A9C5}"/>
    <cellStyle name="style1699013976607" xfId="1043" xr:uid="{2EB16EA7-B422-4112-A12C-5AF0AE009FC3}"/>
    <cellStyle name="style1699013976636" xfId="1045" xr:uid="{F6EF6B38-35F2-4973-B991-62C26A2898A2}"/>
    <cellStyle name="style1699013976652" xfId="1046" xr:uid="{62B5883F-1D1D-46C9-83D8-124893D8DB6C}"/>
    <cellStyle name="style1699013976668" xfId="1047" xr:uid="{5C211CCC-3F94-419C-8CFF-15BFB7DBEC98}"/>
    <cellStyle name="style1699013976684" xfId="1048" xr:uid="{0CD5BFDE-D015-4A05-88F7-FAF97A3AE3AA}"/>
    <cellStyle name="style1699013976699" xfId="1049" xr:uid="{E1B5D472-F1A8-49E5-B110-418197D297AD}"/>
    <cellStyle name="style1699013976715" xfId="1050" xr:uid="{3D9A9EFE-2277-4FE1-AFA9-066A3AEA9278}"/>
    <cellStyle name="style1699013976762" xfId="1051" xr:uid="{31F1B64E-9E20-4D60-8A52-A3AAAE4EC59F}"/>
    <cellStyle name="style1699013976777" xfId="1052" xr:uid="{4BC459A2-3628-484C-A337-E0D6AB3E3132}"/>
    <cellStyle name="style1699013976793" xfId="1053" xr:uid="{2EC5D0FD-1173-4333-BA33-D2270F4DFBB3}"/>
    <cellStyle name="style1699013976809" xfId="1054" xr:uid="{FF82FD1F-0FF9-4D62-89F3-EF17CE454B50}"/>
    <cellStyle name="style1699014163998" xfId="1056" xr:uid="{F08C952C-602E-4021-B68E-45145D035BBD}"/>
    <cellStyle name="style1699014164080" xfId="1059" xr:uid="{75CACC25-70DC-44ED-BA9A-539199E04E07}"/>
    <cellStyle name="style1699014164096" xfId="1055" xr:uid="{348DECCE-187A-4E6B-BD0B-9E2521B5DB56}"/>
    <cellStyle name="style1699014164127" xfId="1057" xr:uid="{9D97D92A-41E8-4B41-8A7D-2292F0F54AB0}"/>
    <cellStyle name="style1699014164143" xfId="1058" xr:uid="{562788AD-9A58-4A1C-B0FF-21B598C958AB}"/>
    <cellStyle name="style1699014164174" xfId="1060" xr:uid="{C352D8C2-860F-4814-851F-C24F39C3153E}"/>
    <cellStyle name="style1699014164189" xfId="1061" xr:uid="{EACCC54A-A390-4082-B99D-8ECB12CDDE44}"/>
    <cellStyle name="style1699014165934" xfId="1063" xr:uid="{D3548523-3F71-40C4-AE2F-21AD27871DDB}"/>
    <cellStyle name="style1699014165997" xfId="1066" xr:uid="{C467C88C-ACD5-4A0D-BDA3-8CB885E8CD8F}"/>
    <cellStyle name="style1699014166013" xfId="1062" xr:uid="{57A93E71-9FA2-4E47-BFA8-37AA6A686E9C}"/>
    <cellStyle name="style1699014166044" xfId="1064" xr:uid="{4ACF6942-7E6D-4E9A-B06A-8B8D6631F30C}"/>
    <cellStyle name="style1699014166060" xfId="1065" xr:uid="{C250DFF3-434C-4856-A68B-C2F5FF28EFBB}"/>
    <cellStyle name="style1699014166076" xfId="1067" xr:uid="{10AA6923-FD2D-4384-B969-B961817E265A}"/>
    <cellStyle name="style1699014166091" xfId="1068" xr:uid="{4204C4B3-3D44-4364-9CBD-470136BA6D9E}"/>
    <cellStyle name="style1699014241774" xfId="1069" xr:uid="{E8870082-766C-4790-AB41-5F02032895D2}"/>
    <cellStyle name="style1699014241790" xfId="1070" xr:uid="{EF4C96BE-4E13-45CA-8B11-D1D95FA12D92}"/>
    <cellStyle name="style1699014241806" xfId="1071" xr:uid="{A9471BA9-68E8-4EEA-96CC-030ED9A6C04A}"/>
    <cellStyle name="style1699014241821" xfId="1072" xr:uid="{125A2149-930E-4EE1-92F6-6B829C12E740}"/>
    <cellStyle name="style1699014241837" xfId="1073" xr:uid="{808D0989-E3B6-4E1E-8024-C3552850F791}"/>
    <cellStyle name="style1699014241852" xfId="1074" xr:uid="{02884BDB-C420-4B97-996E-F2FE008E2DBA}"/>
    <cellStyle name="style1699014241865" xfId="1075" xr:uid="{A9D807C2-6BC2-423D-B5D4-7A3177FC2F0B}"/>
    <cellStyle name="style1699014241880" xfId="1076" xr:uid="{17F1B329-D964-4647-B552-DC060FE635CB}"/>
    <cellStyle name="style1699014241896" xfId="1077" xr:uid="{B47850B4-CBC4-4E6B-A8B3-C2DD46510C40}"/>
    <cellStyle name="style1699014241927" xfId="1078" xr:uid="{9DEBA18C-07DD-416E-9F99-A26DD9821CD6}"/>
    <cellStyle name="style1699014241943" xfId="1079" xr:uid="{BFA92743-B112-49C5-A300-7A204BD8FE80}"/>
    <cellStyle name="style1699014241958" xfId="1080" xr:uid="{DD908AF9-66B0-4BEE-ACC6-F955E7C9F12E}"/>
    <cellStyle name="style1699014241990" xfId="1081" xr:uid="{9888B6A1-9DE4-41B0-A00E-6D7519AA7727}"/>
    <cellStyle name="style1699014242005" xfId="1082" xr:uid="{6C5E7B85-49EE-43C5-A87B-801224040425}"/>
    <cellStyle name="style1699014242021" xfId="1083" xr:uid="{72FF446C-6A3F-40B9-B551-8F67CE4A7232}"/>
    <cellStyle name="style1699014242036" xfId="1084" xr:uid="{81963761-BDCF-48DD-82CD-B4A6C5EEB898}"/>
    <cellStyle name="style1699014242052" xfId="1085" xr:uid="{6787967B-55E7-4963-8FC3-DB9D64C5F702}"/>
    <cellStyle name="style1699014242069" xfId="1086" xr:uid="{3EE78148-3AA5-469D-A590-E35997861476}"/>
    <cellStyle name="style1699014301300" xfId="1087" xr:uid="{FF8F322F-D616-4DE0-ABA4-D943BA9F6657}"/>
    <cellStyle name="style1699014301316" xfId="1088" xr:uid="{ABE442E7-F65A-4BB5-B8FA-A22DCA51A023}"/>
    <cellStyle name="style1699014301334" xfId="1089" xr:uid="{7CC33CEF-4FB8-4776-B11C-CC9517BC37C1}"/>
    <cellStyle name="style1699014301350" xfId="1090" xr:uid="{22C9A07D-24AC-4EE6-A736-439E516B98C6}"/>
    <cellStyle name="style1699014301366" xfId="1091" xr:uid="{2099F3A8-83A0-4FFE-8C9A-CD92D6B56571}"/>
    <cellStyle name="style1699014301397" xfId="1092" xr:uid="{8C61E6DB-B6E9-4034-932A-37A204F42007}"/>
    <cellStyle name="style1699014301413" xfId="1093" xr:uid="{439E9BBE-5972-4A13-AE29-CCE54ACFC6A6}"/>
    <cellStyle name="style1699014301428" xfId="1094" xr:uid="{521FBB91-6828-4A2A-90ED-04C3B3CF4A6B}"/>
    <cellStyle name="style1699014301444" xfId="1095" xr:uid="{F966515A-0CF7-4171-9712-4D586F7C5CF8}"/>
    <cellStyle name="style1699014301459" xfId="1096" xr:uid="{4ADD73A0-96C6-4D2B-9301-1BF0EA63D0DE}"/>
    <cellStyle name="style1699014301475" xfId="1097" xr:uid="{1BBE05A7-3FC4-42C8-9E8D-24389AE943E9}"/>
    <cellStyle name="style1699014301491" xfId="1098" xr:uid="{B74839C4-79EA-4119-A3C5-230F143309CE}"/>
    <cellStyle name="style1699014301538" xfId="1099" xr:uid="{6DCD826A-1B7D-458A-892D-0CFDF307DEE0}"/>
    <cellStyle name="style1699014301553" xfId="1100" xr:uid="{D48A6D38-7245-4209-A4A9-65393F29694C}"/>
    <cellStyle name="style1699014301569" xfId="1101" xr:uid="{B93FB136-A435-44C9-B923-03588DC91E8A}"/>
    <cellStyle name="style1699014301584" xfId="1102" xr:uid="{E6B0D241-A623-4809-A267-ECACBDE54D45}"/>
    <cellStyle name="style1699014301600" xfId="1103" xr:uid="{A406C001-74C7-4A8B-BCD8-FAE0E3E9F03D}"/>
    <cellStyle name="style1699014301616" xfId="1104" xr:uid="{470732A5-12AE-4852-845A-4178044BFACD}"/>
    <cellStyle name="style1704348812362" xfId="1132" xr:uid="{4FE10E9C-8DAE-4D06-AC45-CED650255C6A}"/>
    <cellStyle name="style1704348812378" xfId="1133" xr:uid="{E20245B2-5490-4DAB-9E02-3BAEAD05F0C1}"/>
    <cellStyle name="style1704348812393" xfId="1134" xr:uid="{50CA9FA5-3A0E-4285-BE7E-DA480F67F012}"/>
    <cellStyle name="style1704348812409" xfId="1135" xr:uid="{75084F20-1533-42A7-A7F9-9B534DD319AD}"/>
    <cellStyle name="style1704348812424" xfId="1136" xr:uid="{58463F75-3C24-4D66-9CF1-DEEE3E8E118E}"/>
    <cellStyle name="style1704348812440" xfId="1137" xr:uid="{8D85E049-6114-4DC6-8364-CADC226989A9}"/>
    <cellStyle name="style1704348812456" xfId="1138" xr:uid="{F2A190CC-A053-4D8A-9BF5-5D63DE8F531E}"/>
    <cellStyle name="style1704348812471" xfId="1139" xr:uid="{B2F82526-15E8-4AD7-ACD1-FB85B68DAE58}"/>
    <cellStyle name="style1704348812503" xfId="1140" xr:uid="{05F5EA16-C2F0-40DF-BE14-8EFC063A08E0}"/>
    <cellStyle name="style1704348812518" xfId="1141" xr:uid="{F4798993-9CCA-43E4-8FE0-111ADFDDEDA8}"/>
    <cellStyle name="style1704348812534" xfId="1142" xr:uid="{3BDA0AC0-A24A-4B20-A7AD-44DA6C2A7526}"/>
    <cellStyle name="style1704348812549" xfId="1143" xr:uid="{03155C7F-5B8F-41E6-9A91-2C0877D8BDB2}"/>
    <cellStyle name="style1704348812565" xfId="1144" xr:uid="{86A83686-0701-4055-BF49-4A86FC808790}"/>
    <cellStyle name="style1704348812612" xfId="1145" xr:uid="{BA027579-C91E-4710-BC4B-E24FE898EA87}"/>
    <cellStyle name="style1704348812628" xfId="1146" xr:uid="{3F72E71E-77C2-40F5-B58D-E258DC2515D9}"/>
    <cellStyle name="style1704348812643" xfId="1147" xr:uid="{75358333-EDE0-4EF2-BA8F-2A6539E1AF9C}"/>
    <cellStyle name="style1704348812659" xfId="1148" xr:uid="{1DBC51D1-9D96-4EE6-ADE9-9CFBC61BAF9C}"/>
    <cellStyle name="style1704348812674" xfId="1149" xr:uid="{E8476E2B-7D17-4825-92B2-82DC650B649E}"/>
    <cellStyle name="style1704348812706" xfId="1150" xr:uid="{59A72050-7F6B-4E34-BA10-B5F3A0EE8A73}"/>
    <cellStyle name="style1704349328112" xfId="1151" xr:uid="{1352B9E9-655A-4CC9-8251-EFF25B6795E7}"/>
    <cellStyle name="style1704349328127" xfId="1152" xr:uid="{B33C99DB-3E37-4755-9CE0-D860D989DF9B}"/>
    <cellStyle name="style1704349328143" xfId="1153" xr:uid="{8FE8DC95-B40B-4EF5-93E1-8FC140400E55}"/>
    <cellStyle name="style1704349328175" xfId="1154" xr:uid="{3C54D117-5C8B-447E-8920-D903161DDBFC}"/>
    <cellStyle name="style1704349328182" xfId="1155" xr:uid="{99E59D43-6FD6-4DAE-AA63-5BEA40EC63AE}"/>
    <cellStyle name="style1704349328197" xfId="1156" xr:uid="{844E4749-7AD4-45F5-BBD6-4AE6222354FE}"/>
    <cellStyle name="style1704349328213" xfId="1157" xr:uid="{589252E6-CC02-4C02-978D-6EDC5A02DE88}"/>
    <cellStyle name="style1704349328229" xfId="1158" xr:uid="{12EAB89C-AB7D-49EA-8840-B10EE19E2BC8}"/>
    <cellStyle name="style1704349328244" xfId="1159" xr:uid="{A2A56AC2-FEB3-43FA-9A1C-F0ACF40BB4AA}"/>
    <cellStyle name="style1704349328260" xfId="1160" xr:uid="{B7E2D3AF-69D0-4B4E-BEF9-AF928B5BF8B1}"/>
    <cellStyle name="style1704349328275" xfId="1161" xr:uid="{AD2565EF-64D6-4552-BC21-33999531CCCE}"/>
    <cellStyle name="style1704349328291" xfId="1162" xr:uid="{7547CAE8-539A-4347-BE11-E945A0FB2448}"/>
    <cellStyle name="style1704349392949" xfId="1250" xr:uid="{573BEB72-7F84-4F45-984C-9C0A47F06417}"/>
    <cellStyle name="style1704349392964" xfId="1253" xr:uid="{225ED7CE-7A87-472D-A09A-51AF250E6143}"/>
    <cellStyle name="style1704349392980" xfId="1256" xr:uid="{5BD8EB7D-7503-4B55-AB50-4024A9DA9E9B}"/>
    <cellStyle name="style1704349392997" xfId="1251" xr:uid="{26626515-08E4-4432-BC54-A79195F7349C}"/>
    <cellStyle name="style1704349393012" xfId="1252" xr:uid="{40B3CDC9-CEED-40CF-B08C-924DAF547E99}"/>
    <cellStyle name="style1704349393028" xfId="1254" xr:uid="{06FEAADB-EC71-43C8-9A80-4BEBB374D5E0}"/>
    <cellStyle name="style1704349393044" xfId="1255" xr:uid="{1A567DA7-0BD3-4B1A-964B-129A44A7F138}"/>
    <cellStyle name="style1704349393059" xfId="1257" xr:uid="{7FEDC316-94F4-44CD-B719-7C4E4363E002}"/>
    <cellStyle name="style1704349393075" xfId="1258" xr:uid="{2A758B2D-F1B2-47E6-91CF-DD19067423E0}"/>
    <cellStyle name="style1704349444881" xfId="1259" xr:uid="{28262C9A-65B2-40B1-A7AF-DB28129E55F3}"/>
    <cellStyle name="style1704349444897" xfId="1262" xr:uid="{21A87039-CCA4-47EB-937C-702D703708DD}"/>
    <cellStyle name="style1704349444912" xfId="1265" xr:uid="{88CFFAEF-B41C-4F56-8B6D-8E05AC796E0E}"/>
    <cellStyle name="style1704349444929" xfId="1260" xr:uid="{EC617D85-61E8-410D-AD03-B4CD8CC75B57}"/>
    <cellStyle name="style1704349444945" xfId="1261" xr:uid="{067E80CE-4EE5-4DFC-BF8F-C2929A64461F}"/>
    <cellStyle name="style1704349444960" xfId="1263" xr:uid="{99D8B5B1-57D9-45CE-BB55-640A2C068427}"/>
    <cellStyle name="style1704349444976" xfId="1264" xr:uid="{9CC11354-43EA-4187-AC1E-45BF0245684C}"/>
    <cellStyle name="style1704349444992" xfId="1266" xr:uid="{45EB7288-1799-4443-8288-CCA3E61BC5FA}"/>
    <cellStyle name="style1704349445007" xfId="1267" xr:uid="{84C12DF1-0650-4540-8DBD-728186D89BBB}"/>
    <cellStyle name="style1704349496554" xfId="1268" xr:uid="{70B5AFE3-C2AC-4E86-A3A1-D728EAB6CC75}"/>
    <cellStyle name="style1704349496570" xfId="1270" xr:uid="{DB0187AE-7E39-4D75-B8A2-8113556DBC76}"/>
    <cellStyle name="style1704349496585" xfId="1273" xr:uid="{57854126-C87A-4D40-8EB5-118BECDA6C62}"/>
    <cellStyle name="style1704349496601" xfId="1269" xr:uid="{93353EE3-BFAD-4642-B442-E973A9072043}"/>
    <cellStyle name="style1704349496617" xfId="1271" xr:uid="{6DA784C0-E98F-4973-B4C2-19FBD4EF4C61}"/>
    <cellStyle name="style1704349496632" xfId="1272" xr:uid="{6F98F4E7-2FDA-41BC-8422-9F9B302DEBA7}"/>
    <cellStyle name="style1704349496648" xfId="1274" xr:uid="{388BC7B1-43FB-46B6-85B5-9941E0F730BD}"/>
    <cellStyle name="style1704349496664" xfId="1275" xr:uid="{F1AF6D3E-1C13-402A-ACE1-CB232F50E1EF}"/>
    <cellStyle name="style1704349572004" xfId="1163" xr:uid="{243CCBEF-AD83-4CCA-B2C0-B7C186E52A04}"/>
    <cellStyle name="style1704349572020" xfId="1164" xr:uid="{72C614F4-A1F5-4BE0-90A1-E42FEAF4129D}"/>
    <cellStyle name="style1704349572036" xfId="1165" xr:uid="{C922806C-D8CD-4A8B-9432-E1448420C8A1}"/>
    <cellStyle name="style1704349572051" xfId="1166" xr:uid="{5FDACB31-5DA0-479E-A1C8-9C0D62A23034}"/>
    <cellStyle name="style1704349572082" xfId="1167" xr:uid="{8A1997B7-4FFE-4129-90B7-398032F82F26}"/>
    <cellStyle name="style1704349572098" xfId="1168" xr:uid="{826D0CD9-5D34-45E8-8B9B-1273C42B2AA3}"/>
    <cellStyle name="style1704349572114" xfId="1169" xr:uid="{F2300535-26DF-4DF0-BA1C-4266F2DB8871}"/>
    <cellStyle name="style1704349572129" xfId="1170" xr:uid="{5C94DEB8-FC85-4BA3-B26C-B32E28E45E99}"/>
    <cellStyle name="style1704349572145" xfId="1171" xr:uid="{C4AF4C02-C17D-457D-946C-011083F84A1E}"/>
    <cellStyle name="style1704349572160" xfId="1172" xr:uid="{A4917CF0-2592-48E0-9922-AF90B84BA9CD}"/>
    <cellStyle name="style1704349572176" xfId="1173" xr:uid="{196814F3-CA7F-43D8-B455-1EC83B6AA92F}"/>
    <cellStyle name="style1704349572192" xfId="1174" xr:uid="{FA88AD46-361F-4082-A1CF-F888C1E90819}"/>
    <cellStyle name="style1704349613318" xfId="1175" xr:uid="{A28FDED4-BF96-4A75-8F1D-D9D02F5BDF5B}"/>
    <cellStyle name="style1704349613334" xfId="1181" xr:uid="{4179747F-2B5D-4BD4-B8D6-FA6F1204314A}"/>
    <cellStyle name="style1704349613350" xfId="1186" xr:uid="{7928B473-D1A1-41C2-AF7E-FF4A162B7F69}"/>
    <cellStyle name="style1704349613365" xfId="1176" xr:uid="{D9EF96C1-904F-4069-A48A-3401DE3DF1BA}"/>
    <cellStyle name="style1704349613381" xfId="1177" xr:uid="{F40EECC2-14A5-40D8-B052-BDF2BF743762}"/>
    <cellStyle name="style1704349613396" xfId="1178" xr:uid="{85DB1831-30F9-4871-A81B-A81379B3C044}"/>
    <cellStyle name="style1704349613412" xfId="1179" xr:uid="{39560D43-0C06-4C47-8E87-8A0C3304997B}"/>
    <cellStyle name="style1704349613428" xfId="1180" xr:uid="{47EA1EF8-D7DB-4F31-94AF-1E5A6C7C279C}"/>
    <cellStyle name="style1704349613443" xfId="1182" xr:uid="{0F56E091-33DE-498D-84A3-55AF6D136372}"/>
    <cellStyle name="style1704349613459" xfId="1183" xr:uid="{1BBEF39E-DF6B-4AA9-8E51-28ADA77EDB08}"/>
    <cellStyle name="style1704349613474" xfId="1184" xr:uid="{DB871E60-ADAA-4611-8A84-A4EB090EA67E}"/>
    <cellStyle name="style1704349613490" xfId="1185" xr:uid="{3AB977F8-89EC-4614-AA05-2CDE016C65DA}"/>
    <cellStyle name="style1704349613506" xfId="1187" xr:uid="{CB33C2BE-90C4-4980-89D0-19E88D0C28F0}"/>
    <cellStyle name="style1704349613521" xfId="1188" xr:uid="{FA7184FF-E441-4FF6-A3E2-AB8B3A99E534}"/>
    <cellStyle name="style1704349613537" xfId="1189" xr:uid="{B814E011-F8F1-4FD0-B248-12A66EE6D2E9}"/>
    <cellStyle name="style1704349613553" xfId="1190" xr:uid="{D2563051-3E67-4AC1-9B2D-334CBBA0AE3A}"/>
    <cellStyle name="style1704349736852" xfId="1191" xr:uid="{882082CE-7C91-49BA-A1B9-1B30281E06CB}"/>
    <cellStyle name="style1704349736867" xfId="1196" xr:uid="{FB98C128-D112-46A4-A3DF-7B82AD98B546}"/>
    <cellStyle name="style1704349736883" xfId="1202" xr:uid="{5815C248-3584-4724-8BB5-2A2806D1BD59}"/>
    <cellStyle name="style1704349736899" xfId="1192" xr:uid="{EE181243-CFCF-4318-9C33-A0067D90DE08}"/>
    <cellStyle name="style1704349736914" xfId="1193" xr:uid="{C5372CD7-50A5-4D7C-9254-55296A2AFF9D}"/>
    <cellStyle name="style1704349736930" xfId="1194" xr:uid="{18627D43-F17C-4681-A81E-B3254EEECDB0}"/>
    <cellStyle name="style1704349736945" xfId="1195" xr:uid="{17CA5924-E463-4D63-B00D-1C61B19CA528}"/>
    <cellStyle name="style1704349736961" xfId="1197" xr:uid="{E9D1AB23-6047-470E-8B6B-02138D54C856}"/>
    <cellStyle name="style1704349736977" xfId="1198" xr:uid="{B3B1DECF-EB1F-4540-B6D0-9115FBD56D16}"/>
    <cellStyle name="style1704349736992" xfId="1199" xr:uid="{AEAC47B3-0EF5-47C9-B6D9-9FE0D4E6317B}"/>
    <cellStyle name="style1704349737008" xfId="1200" xr:uid="{BBF2C46B-BCDC-48C1-9A9D-8AF7FA5446FB}"/>
    <cellStyle name="style1704349737024" xfId="1201" xr:uid="{021373B0-AEFB-4375-9A68-59AA46152B3F}"/>
    <cellStyle name="style1704349737039" xfId="1203" xr:uid="{299AF1B5-DE9F-4724-BAC5-A7264B771EAD}"/>
    <cellStyle name="style1704349737055" xfId="1204" xr:uid="{5329465D-5D38-43B7-83E0-9326AACE781E}"/>
    <cellStyle name="style1704349940489" xfId="1205" xr:uid="{1AF70A43-22AD-46AD-A083-329E152AC7B6}"/>
    <cellStyle name="style1704349940536" xfId="1206" xr:uid="{6BE8752C-B547-4D03-84AB-FB234DEA26A1}"/>
    <cellStyle name="style1704349940552" xfId="1207" xr:uid="{C7348C4F-1B96-4266-8755-05AFA2362DDA}"/>
    <cellStyle name="style1704349940568" xfId="1208" xr:uid="{716979D6-C986-4F22-9E87-A711DADD70AA}"/>
    <cellStyle name="style1704349940583" xfId="1209" xr:uid="{16CAFDF2-19FE-423E-ABC2-169E3C7B6F2C}"/>
    <cellStyle name="style1704349940599" xfId="1210" xr:uid="{8A42E67E-D9AB-4DEA-93D0-1966F1E54B46}"/>
    <cellStyle name="style1704349940616" xfId="1211" xr:uid="{06FE42CF-1357-4A14-9FBE-4FAAA0B36A3C}"/>
    <cellStyle name="style1704349942203" xfId="1212" xr:uid="{9E139E35-D59E-4DE3-AC30-BEA6291372D1}"/>
    <cellStyle name="style1704349942250" xfId="1213" xr:uid="{DD01EB4C-619B-461A-88CA-AFF0BF8D7830}"/>
    <cellStyle name="style1704349942265" xfId="1214" xr:uid="{E686C325-A96A-40E2-B4A4-CDE4C60C72C2}"/>
    <cellStyle name="style1704349942281" xfId="1215" xr:uid="{326A901C-FE91-4A5B-B3A9-89460910430B}"/>
    <cellStyle name="style1704349942296" xfId="1216" xr:uid="{C7CFB35E-4745-491A-842B-962AA08EEF10}"/>
    <cellStyle name="style1704349942312" xfId="1217" xr:uid="{270F4ED5-B665-4187-B3F6-357F3DD6D48E}"/>
    <cellStyle name="style1704349942328" xfId="1218" xr:uid="{4870C868-EC42-49CF-86CF-305FDC5B744E}"/>
    <cellStyle name="style1704349942343" xfId="1219" xr:uid="{EB378CD5-E4B5-41F7-BDF8-B8A40ABB5D68}"/>
    <cellStyle name="style1704350024891" xfId="1220" xr:uid="{450743A7-9AB2-4167-A521-AD4AE8AB1F16}"/>
    <cellStyle name="style1704350024907" xfId="1221" xr:uid="{13C7F76B-6BD7-4113-A338-6C449045A566}"/>
    <cellStyle name="style1704350024922" xfId="1222" xr:uid="{50EE111F-9912-497B-A882-86FE8E3C22AA}"/>
    <cellStyle name="style1704350024938" xfId="1223" xr:uid="{B5950D69-A489-48D8-8243-BF825EB11683}"/>
    <cellStyle name="style1704350024954" xfId="1224" xr:uid="{003D5C23-09EF-4590-B3CD-8FB9018F18BA}"/>
    <cellStyle name="style1704350024969" xfId="1225" xr:uid="{DCA9D448-A171-4948-A546-579B292B6008}"/>
    <cellStyle name="style1704350024986" xfId="1226" xr:uid="{C85BB68A-5A54-47AF-B709-EA5170DD4BE8}"/>
    <cellStyle name="style1704350025002" xfId="1227" xr:uid="{2B22BB5E-41A8-47F8-8FE1-0A2494197D53}"/>
    <cellStyle name="style1704350025017" xfId="1228" xr:uid="{A2018F57-7FB4-4C13-97E1-46D41281602F}"/>
    <cellStyle name="style1704350025033" xfId="1229" xr:uid="{37974863-542A-4B3A-B746-9FD127F8B1D1}"/>
    <cellStyle name="style1704350025049" xfId="1230" xr:uid="{0538B3D0-7531-4274-93FB-F571168AFC2C}"/>
    <cellStyle name="style1704350025064" xfId="1231" xr:uid="{8515E11C-4E89-4FA1-B371-6A91F52B52E2}"/>
    <cellStyle name="style1704350025095" xfId="1232" xr:uid="{BD6D0DE2-EB6F-42C7-BE00-03AFC1978D44}"/>
    <cellStyle name="style1704350025102" xfId="1233" xr:uid="{AFA34E7A-508E-4491-B04D-5E65E0608BC4}"/>
    <cellStyle name="style1704350025118" xfId="1234" xr:uid="{32FB4070-6D62-4CB7-A47C-B9D08E5AD262}"/>
    <cellStyle name="style1704350095147" xfId="1235" xr:uid="{BE774D09-B359-4E41-8727-2229F5AC2AFE}"/>
    <cellStyle name="style1704350095162" xfId="1236" xr:uid="{EE7FE1EA-D0F2-49B9-B761-A0C15910D43B}"/>
    <cellStyle name="style1704350095178" xfId="1237" xr:uid="{E0059083-C67C-4115-8251-0CCA93D23AB8}"/>
    <cellStyle name="style1704350095194" xfId="1238" xr:uid="{2EA5F981-6AEF-4D64-876F-F5359A3B3489}"/>
    <cellStyle name="style1704350095209" xfId="1239" xr:uid="{33760116-17DE-44EC-A137-25FDCC2743B0}"/>
    <cellStyle name="style1704350095225" xfId="1240" xr:uid="{454C697D-9CD4-418C-BB7B-0DE984EE3956}"/>
    <cellStyle name="style1704350095241" xfId="1241" xr:uid="{ACD8A1C0-0A4D-485C-9BE6-345F7832F285}"/>
    <cellStyle name="style1704350095256" xfId="1242" xr:uid="{D431FE0E-023A-48E7-B13C-D3FD1BBCFFFE}"/>
    <cellStyle name="style1704350095272" xfId="1243" xr:uid="{5ABBC7B7-5D98-42D5-A6B1-A6EF0ED2FD33}"/>
    <cellStyle name="style1704350095287" xfId="1244" xr:uid="{3B762A0A-97CE-4903-B1FB-E0C35EB831D9}"/>
    <cellStyle name="style1704350095303" xfId="1245" xr:uid="{5DD0C76C-D776-49AB-81DB-D43EB7FCD607}"/>
    <cellStyle name="style1704350095319" xfId="1246" xr:uid="{216BB3BC-5C8C-4ACA-8968-3166DD9DF1E2}"/>
    <cellStyle name="style1704350095334" xfId="1247" xr:uid="{D5C5891E-0FBF-4802-B9D1-628CF955D26A}"/>
    <cellStyle name="style1704350095350" xfId="1248" xr:uid="{3C89F425-9B66-4FDC-9633-936568956449}"/>
    <cellStyle name="style1704350095366" xfId="1249" xr:uid="{310335E0-D397-447E-91BC-FDB39E015E44}"/>
    <cellStyle name="style1707127810818" xfId="1390" xr:uid="{B168DEE8-1A0D-4219-A4F7-2A9502197DE5}"/>
    <cellStyle name="style1707127810834" xfId="1391" xr:uid="{E4E88ED7-FBEC-438B-8D46-F8FE474A13B8}"/>
    <cellStyle name="style1707127810849" xfId="1392" xr:uid="{8009C286-6AA5-4723-886D-24D8CDCE8E57}"/>
    <cellStyle name="style1707127810865" xfId="1393" xr:uid="{69A8D6DB-0D37-4069-B02B-5AE5C8498105}"/>
    <cellStyle name="style1707127810881" xfId="1394" xr:uid="{906B46A5-F15F-4078-8FFE-BDAE8076A6E4}"/>
    <cellStyle name="style1707127810896" xfId="1395" xr:uid="{76CE030F-E492-40E6-B904-6AC975A4A669}"/>
    <cellStyle name="style1717422067386" xfId="1414" xr:uid="{78C43D76-7CFE-4097-8443-24665A4AAB0F}"/>
    <cellStyle name="style1717422067421" xfId="1415" xr:uid="{F5C006DE-A2FD-4C36-8EE5-9426D5AE0CA6}"/>
    <cellStyle name="style1717422067457" xfId="1419" xr:uid="{5E0A85EF-8078-45AC-A48C-90C3B04DCD97}"/>
    <cellStyle name="style1717422067502" xfId="1420" xr:uid="{E096D919-9107-4FAB-9FF0-9AF2266331F8}"/>
    <cellStyle name="style1717422067549" xfId="1411" xr:uid="{8AAA0283-1F12-43AB-AF5E-2AB7644A079B}"/>
    <cellStyle name="style1717422067587" xfId="1416" xr:uid="{D860D654-29E6-4D00-A1D0-F8EF57A22876}"/>
    <cellStyle name="style1730789704773" xfId="1412" xr:uid="{79B8B34D-155B-4041-B565-79EEB24B051D}"/>
    <cellStyle name="style1741084124939" xfId="1417" xr:uid="{EBBCE4D5-2AC2-4596-96F4-EFE9DB90C1EA}"/>
    <cellStyle name="style1741084124970" xfId="1418" xr:uid="{461DBD86-3090-4242-B201-CC828C642563}"/>
    <cellStyle name="style1741084124998" xfId="1413" xr:uid="{11E994A1-F96F-4BAB-9109-10EA75201836}"/>
    <cellStyle name="style1762238911321" xfId="1421" xr:uid="{FCADD97D-45D4-4228-966D-3F755A87E6F3}"/>
  </cellStyles>
  <dxfs count="0"/>
  <tableStyles count="0" defaultTableStyle="TableStyleMedium2" defaultPivotStyle="PivotStyleLight16"/>
  <colors>
    <mruColors>
      <color rgb="FFEC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9</xdr:row>
      <xdr:rowOff>142875</xdr:rowOff>
    </xdr:from>
    <xdr:to>
      <xdr:col>16</xdr:col>
      <xdr:colOff>409575</xdr:colOff>
      <xdr:row>13</xdr:row>
      <xdr:rowOff>104775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B8D874A5-516B-A041-3D3E-04DB1315874F}"/>
            </a:ext>
          </a:extLst>
        </xdr:cNvPr>
        <xdr:cNvSpPr/>
      </xdr:nvSpPr>
      <xdr:spPr>
        <a:xfrm>
          <a:off x="10439400" y="1857375"/>
          <a:ext cx="3714750" cy="723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Se ha hecho la búsqueda de datos en Diciembre de 2025, por tanto se ha tomado y tenido en cuenta las variable disponibles hasta la fecha.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</xdr:row>
      <xdr:rowOff>104775</xdr:rowOff>
    </xdr:from>
    <xdr:to>
      <xdr:col>8</xdr:col>
      <xdr:colOff>428625</xdr:colOff>
      <xdr:row>6</xdr:row>
      <xdr:rowOff>66675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39C9235-BF7A-274C-4985-AD45F1780603}"/>
            </a:ext>
          </a:extLst>
        </xdr:cNvPr>
        <xdr:cNvSpPr/>
      </xdr:nvSpPr>
      <xdr:spPr>
        <a:xfrm>
          <a:off x="4962525" y="295275"/>
          <a:ext cx="3028950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ha tomado como variable proxy la cuantia maxima del subsidio estatal para vehiculos de segmento medio &lt;40000, dado que representan el grueso de la demanda sensible al precio.</a:t>
          </a:r>
          <a:r>
            <a:rPr lang="es-ES">
              <a:effectLst/>
            </a:rPr>
            <a:t> </a:t>
          </a:r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4</xdr:row>
      <xdr:rowOff>257175</xdr:rowOff>
    </xdr:from>
    <xdr:to>
      <xdr:col>7</xdr:col>
      <xdr:colOff>762000</xdr:colOff>
      <xdr:row>6</xdr:row>
      <xdr:rowOff>66675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E06E48-1EB7-8B94-DF90-364C00EEA89F}"/>
            </a:ext>
          </a:extLst>
        </xdr:cNvPr>
        <xdr:cNvSpPr/>
      </xdr:nvSpPr>
      <xdr:spPr>
        <a:xfrm>
          <a:off x="4648200" y="1028700"/>
          <a:ext cx="1447800" cy="5238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Datos estimados  en base informes.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22E7-AB87-4D1E-957D-6E00040D9139}">
  <dimension ref="C2:U16"/>
  <sheetViews>
    <sheetView tabSelected="1" workbookViewId="0">
      <selection activeCell="F20" sqref="F20"/>
    </sheetView>
  </sheetViews>
  <sheetFormatPr defaultColWidth="11.42578125" defaultRowHeight="15"/>
  <cols>
    <col min="4" max="4" width="25.42578125" bestFit="1" customWidth="1"/>
    <col min="14" max="14" width="20.7109375" bestFit="1" customWidth="1"/>
  </cols>
  <sheetData>
    <row r="2" spans="3:21">
      <c r="C2" t="s">
        <v>0</v>
      </c>
      <c r="M2" t="s">
        <v>1</v>
      </c>
    </row>
    <row r="3" spans="3:21">
      <c r="C3" s="37"/>
      <c r="D3" s="25">
        <v>2018</v>
      </c>
      <c r="E3" s="25">
        <v>2019</v>
      </c>
      <c r="F3" s="25">
        <v>2020</v>
      </c>
      <c r="G3" s="25">
        <v>2021</v>
      </c>
      <c r="H3" s="25">
        <v>2022</v>
      </c>
      <c r="I3" s="25">
        <v>2023</v>
      </c>
      <c r="J3" s="25">
        <v>2024</v>
      </c>
      <c r="K3" s="26">
        <v>2025</v>
      </c>
      <c r="M3" s="37"/>
      <c r="N3" s="47">
        <v>2018</v>
      </c>
      <c r="O3" s="47">
        <v>2019</v>
      </c>
      <c r="P3" s="47">
        <v>2020</v>
      </c>
      <c r="Q3" s="47">
        <v>2021</v>
      </c>
      <c r="R3" s="47">
        <v>2022</v>
      </c>
      <c r="S3" s="47">
        <v>2023</v>
      </c>
      <c r="T3" s="47">
        <v>2024</v>
      </c>
      <c r="U3" s="48">
        <v>2025</v>
      </c>
    </row>
    <row r="4" spans="3:21">
      <c r="C4" s="38" t="s">
        <v>2</v>
      </c>
      <c r="D4" s="2">
        <v>3836</v>
      </c>
      <c r="E4" s="2">
        <v>5748</v>
      </c>
      <c r="F4" s="2">
        <v>43671</v>
      </c>
      <c r="G4" s="3">
        <v>48436</v>
      </c>
      <c r="H4" s="4">
        <v>104325</v>
      </c>
      <c r="I4" s="5">
        <v>54654</v>
      </c>
      <c r="J4" s="6">
        <v>33561</v>
      </c>
      <c r="K4" s="28"/>
      <c r="M4" s="49" t="s">
        <v>3</v>
      </c>
      <c r="N4" s="21">
        <f>D4+D5+D6</f>
        <v>11488</v>
      </c>
      <c r="O4" s="21">
        <f>E4+E5+E6</f>
        <v>15378</v>
      </c>
      <c r="P4" s="21">
        <f>F4+F5+F6</f>
        <v>95794</v>
      </c>
      <c r="Q4" s="21">
        <f>G4+G5+G6</f>
        <v>119266</v>
      </c>
      <c r="R4" s="21">
        <f>H4+H5+H6</f>
        <v>198086</v>
      </c>
      <c r="S4" s="21">
        <f>I4+I5+I6</f>
        <v>136930</v>
      </c>
      <c r="T4" s="21">
        <f>J4+J5+J6</f>
        <v>104219</v>
      </c>
      <c r="U4" s="50">
        <f>K4+K5+K6</f>
        <v>52425</v>
      </c>
    </row>
    <row r="5" spans="3:21">
      <c r="C5" s="38" t="s">
        <v>4</v>
      </c>
      <c r="D5" s="2">
        <v>4262</v>
      </c>
      <c r="E5" s="2">
        <v>4651</v>
      </c>
      <c r="F5" s="2">
        <v>28965</v>
      </c>
      <c r="G5" s="8">
        <v>40270</v>
      </c>
      <c r="H5" s="9">
        <v>57980</v>
      </c>
      <c r="I5" s="5">
        <v>44942</v>
      </c>
      <c r="J5" s="6">
        <v>35167</v>
      </c>
      <c r="K5" s="28"/>
      <c r="M5" s="49" t="s">
        <v>5</v>
      </c>
      <c r="N5" s="21">
        <f>D7+D8+D9</f>
        <v>7340</v>
      </c>
      <c r="O5" s="21">
        <f>E7+E8+E9</f>
        <v>16844</v>
      </c>
      <c r="P5" s="21">
        <f>F7+F8+F9</f>
        <v>54062</v>
      </c>
      <c r="Q5" s="21">
        <f>G7+G8+G9</f>
        <v>87979</v>
      </c>
      <c r="R5" s="21">
        <f>H7+H8+H9</f>
        <v>105210</v>
      </c>
      <c r="S5" s="21">
        <f>I7+I8+I9</f>
        <v>167045</v>
      </c>
      <c r="T5" s="21">
        <f>J7+J8+J9</f>
        <v>92265</v>
      </c>
      <c r="U5" s="50">
        <f>K7+K8+K9</f>
        <v>133476</v>
      </c>
    </row>
    <row r="6" spans="3:21">
      <c r="C6" s="38" t="s">
        <v>6</v>
      </c>
      <c r="D6" s="2">
        <v>3390</v>
      </c>
      <c r="E6" s="2">
        <v>4979</v>
      </c>
      <c r="F6" s="2">
        <v>23158</v>
      </c>
      <c r="G6" s="10">
        <v>30560</v>
      </c>
      <c r="H6" s="9">
        <v>35781</v>
      </c>
      <c r="I6" s="5">
        <v>37334</v>
      </c>
      <c r="J6" s="6">
        <v>35491</v>
      </c>
      <c r="K6" s="40">
        <v>52425</v>
      </c>
      <c r="M6" s="49" t="s">
        <v>7</v>
      </c>
      <c r="N6" s="21">
        <f>D10+D11+D12</f>
        <v>8132</v>
      </c>
      <c r="O6" s="21">
        <f>E10+E11+E12</f>
        <v>15158</v>
      </c>
      <c r="P6" s="21">
        <f>F10+F11+F12</f>
        <v>18332</v>
      </c>
      <c r="Q6" s="21">
        <f>G10+G11+G12</f>
        <v>84022</v>
      </c>
      <c r="R6" s="21">
        <f>H10+H11+H12</f>
        <v>83591</v>
      </c>
      <c r="S6" s="21">
        <f>I10+I11+I12</f>
        <v>125508</v>
      </c>
      <c r="T6" s="21">
        <f>J10+J11+J12</f>
        <v>102788</v>
      </c>
      <c r="U6" s="50">
        <f>K10+K11+K12</f>
        <v>135758</v>
      </c>
    </row>
    <row r="7" spans="3:21">
      <c r="C7" s="38" t="s">
        <v>8</v>
      </c>
      <c r="D7" s="2">
        <v>2357</v>
      </c>
      <c r="E7" s="2">
        <v>5880</v>
      </c>
      <c r="F7" s="2">
        <v>21188</v>
      </c>
      <c r="G7" s="11">
        <v>33655</v>
      </c>
      <c r="H7" s="9">
        <v>44389</v>
      </c>
      <c r="I7" s="12">
        <v>31714</v>
      </c>
      <c r="J7" s="6">
        <v>34479</v>
      </c>
      <c r="K7" s="40">
        <v>45495</v>
      </c>
      <c r="M7" s="49" t="s">
        <v>9</v>
      </c>
      <c r="N7" s="21">
        <f>D13+D14+D15</f>
        <v>9102</v>
      </c>
      <c r="O7" s="21">
        <f>E13+E14+E15</f>
        <v>15901</v>
      </c>
      <c r="P7" s="21">
        <f>F13+F14+F15</f>
        <v>25975</v>
      </c>
      <c r="Q7" s="21">
        <f>G13+G14+G15</f>
        <v>64694</v>
      </c>
      <c r="R7" s="21">
        <f>H13+H14+H15</f>
        <v>83672</v>
      </c>
      <c r="S7" s="21">
        <f>I13+I14+I15</f>
        <v>94736</v>
      </c>
      <c r="T7" s="21">
        <f>J13+J14+J15</f>
        <v>81337</v>
      </c>
      <c r="U7" s="50">
        <f>K13+K14+K15</f>
        <v>112968</v>
      </c>
    </row>
    <row r="8" spans="3:21">
      <c r="C8" s="38" t="s">
        <v>10</v>
      </c>
      <c r="D8" s="2">
        <v>2457</v>
      </c>
      <c r="E8" s="2">
        <v>5001</v>
      </c>
      <c r="F8" s="2">
        <v>16076</v>
      </c>
      <c r="G8" s="13">
        <v>28860</v>
      </c>
      <c r="H8" s="9">
        <v>32006</v>
      </c>
      <c r="I8" s="12">
        <v>86649</v>
      </c>
      <c r="J8" s="6">
        <v>27024</v>
      </c>
      <c r="K8" s="40">
        <v>39367</v>
      </c>
      <c r="M8" s="51" t="s">
        <v>11</v>
      </c>
      <c r="N8" s="41">
        <f>N4+N5+N6+N7</f>
        <v>36062</v>
      </c>
      <c r="O8" s="41">
        <f>O4+O5+O6+O7</f>
        <v>63281</v>
      </c>
      <c r="P8" s="41">
        <f>P4+P5+P6+P7</f>
        <v>194163</v>
      </c>
      <c r="Q8" s="41">
        <f>Q4+Q5+Q6+Q7</f>
        <v>355961</v>
      </c>
      <c r="R8" s="41">
        <f>R4+R5+R6+R7</f>
        <v>470559</v>
      </c>
      <c r="S8" s="41">
        <f>S4+S5+S6+S7</f>
        <v>524219</v>
      </c>
      <c r="T8" s="41">
        <f>T4+T5+T6+T7</f>
        <v>380609</v>
      </c>
      <c r="U8" s="52">
        <f>U4+U5+U6+U7</f>
        <v>434627</v>
      </c>
    </row>
    <row r="9" spans="3:21">
      <c r="C9" s="38" t="s">
        <v>12</v>
      </c>
      <c r="D9" s="2">
        <v>2526</v>
      </c>
      <c r="E9" s="2">
        <v>5963</v>
      </c>
      <c r="F9" s="2">
        <v>16798</v>
      </c>
      <c r="G9" s="13">
        <v>25464</v>
      </c>
      <c r="H9" s="9">
        <v>28815</v>
      </c>
      <c r="I9" s="12">
        <v>48682</v>
      </c>
      <c r="J9" s="6">
        <v>30762</v>
      </c>
      <c r="K9" s="40">
        <v>48614</v>
      </c>
    </row>
    <row r="10" spans="3:21">
      <c r="C10" s="38" t="s">
        <v>13</v>
      </c>
      <c r="D10" s="2">
        <v>2651</v>
      </c>
      <c r="E10" s="2">
        <v>5760</v>
      </c>
      <c r="F10" s="2">
        <v>8119</v>
      </c>
      <c r="G10" s="13">
        <v>33420</v>
      </c>
      <c r="H10" s="14">
        <v>32234</v>
      </c>
      <c r="I10" s="12">
        <v>52988</v>
      </c>
      <c r="J10" s="6">
        <v>43412</v>
      </c>
      <c r="K10" s="40">
        <v>47163</v>
      </c>
    </row>
    <row r="11" spans="3:21">
      <c r="C11" s="38" t="s">
        <v>14</v>
      </c>
      <c r="D11" s="2">
        <v>2310</v>
      </c>
      <c r="E11" s="2">
        <v>4630</v>
      </c>
      <c r="F11" s="2">
        <v>5578</v>
      </c>
      <c r="G11" s="15">
        <v>26786</v>
      </c>
      <c r="H11" s="14">
        <v>29182</v>
      </c>
      <c r="I11" s="16">
        <v>42780</v>
      </c>
      <c r="J11" s="6">
        <v>29708</v>
      </c>
      <c r="K11" s="40">
        <v>43060</v>
      </c>
    </row>
    <row r="12" spans="3:21">
      <c r="C12" s="38" t="s">
        <v>15</v>
      </c>
      <c r="D12" s="2">
        <v>3171</v>
      </c>
      <c r="E12" s="2">
        <v>4768</v>
      </c>
      <c r="F12" s="2">
        <v>4635</v>
      </c>
      <c r="G12" s="15">
        <v>23816</v>
      </c>
      <c r="H12" s="14">
        <v>22175</v>
      </c>
      <c r="I12" s="16">
        <v>29740</v>
      </c>
      <c r="J12" s="6">
        <v>29668</v>
      </c>
      <c r="K12" s="40">
        <v>45535</v>
      </c>
    </row>
    <row r="13" spans="3:21">
      <c r="C13" s="38" t="s">
        <v>16</v>
      </c>
      <c r="D13" s="2">
        <v>3792</v>
      </c>
      <c r="E13" s="2">
        <v>6616</v>
      </c>
      <c r="F13" s="2">
        <v>10329</v>
      </c>
      <c r="G13" s="17">
        <v>30101</v>
      </c>
      <c r="H13" s="14">
        <v>34474</v>
      </c>
      <c r="I13" s="4">
        <v>44125</v>
      </c>
      <c r="J13" s="6">
        <v>31384</v>
      </c>
      <c r="K13" s="40">
        <v>42521</v>
      </c>
    </row>
    <row r="14" spans="3:21">
      <c r="C14" s="38" t="s">
        <v>17</v>
      </c>
      <c r="D14" s="2">
        <v>2546</v>
      </c>
      <c r="E14" s="2">
        <v>4637</v>
      </c>
      <c r="F14" s="2">
        <v>8154</v>
      </c>
      <c r="G14" s="18">
        <v>18278</v>
      </c>
      <c r="H14" s="14">
        <v>28306</v>
      </c>
      <c r="I14" s="4">
        <v>32475</v>
      </c>
      <c r="J14" s="6">
        <v>27479</v>
      </c>
      <c r="K14" s="40">
        <v>35949</v>
      </c>
    </row>
    <row r="15" spans="3:21">
      <c r="C15" s="38" t="s">
        <v>18</v>
      </c>
      <c r="D15" s="2">
        <v>2764</v>
      </c>
      <c r="E15" s="2">
        <v>4648</v>
      </c>
      <c r="F15" s="2">
        <v>7492</v>
      </c>
      <c r="G15" s="2">
        <v>16315</v>
      </c>
      <c r="H15" s="19">
        <v>20892</v>
      </c>
      <c r="I15" s="4">
        <v>18136</v>
      </c>
      <c r="J15" s="20">
        <v>22474</v>
      </c>
      <c r="K15" s="40">
        <v>34498</v>
      </c>
    </row>
    <row r="16" spans="3:21">
      <c r="C16" s="39" t="s">
        <v>19</v>
      </c>
      <c r="D16" s="41">
        <v>36062</v>
      </c>
      <c r="E16" s="41">
        <v>63281</v>
      </c>
      <c r="F16" s="41">
        <v>194163</v>
      </c>
      <c r="G16" s="42">
        <v>355961</v>
      </c>
      <c r="H16" s="43">
        <v>470559</v>
      </c>
      <c r="I16" s="44">
        <v>524219</v>
      </c>
      <c r="J16" s="45">
        <v>380609</v>
      </c>
      <c r="K16" s="46">
        <v>434627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3BBE-7CAB-42B8-8FBA-E02968CE0EFA}">
  <dimension ref="B2:D34"/>
  <sheetViews>
    <sheetView topLeftCell="A14" workbookViewId="0">
      <selection activeCell="C2" sqref="C2:D34"/>
    </sheetView>
  </sheetViews>
  <sheetFormatPr defaultColWidth="11.42578125" defaultRowHeight="15"/>
  <cols>
    <col min="2" max="2" width="21.7109375" bestFit="1" customWidth="1"/>
    <col min="4" max="4" width="23.140625" bestFit="1" customWidth="1"/>
  </cols>
  <sheetData>
    <row r="2" spans="2:4">
      <c r="B2" t="s">
        <v>20</v>
      </c>
      <c r="C2" s="37" t="s">
        <v>21</v>
      </c>
      <c r="D2" s="26" t="s">
        <v>22</v>
      </c>
    </row>
    <row r="3" spans="2:4">
      <c r="C3" s="38" t="s">
        <v>23</v>
      </c>
      <c r="D3" s="28">
        <v>4000</v>
      </c>
    </row>
    <row r="4" spans="2:4">
      <c r="C4" s="38" t="s">
        <v>24</v>
      </c>
      <c r="D4" s="28">
        <v>4000</v>
      </c>
    </row>
    <row r="5" spans="2:4">
      <c r="C5" s="38" t="s">
        <v>25</v>
      </c>
      <c r="D5" s="28">
        <v>4000</v>
      </c>
    </row>
    <row r="6" spans="2:4">
      <c r="C6" s="38" t="s">
        <v>26</v>
      </c>
      <c r="D6" s="28">
        <v>4000</v>
      </c>
    </row>
    <row r="7" spans="2:4">
      <c r="C7" s="38" t="s">
        <v>27</v>
      </c>
      <c r="D7" s="28">
        <v>4000</v>
      </c>
    </row>
    <row r="8" spans="2:4">
      <c r="C8" s="38" t="s">
        <v>28</v>
      </c>
      <c r="D8" s="28">
        <v>4000</v>
      </c>
    </row>
    <row r="9" spans="2:4">
      <c r="C9" s="38" t="s">
        <v>29</v>
      </c>
      <c r="D9" s="28">
        <v>4000</v>
      </c>
    </row>
    <row r="10" spans="2:4">
      <c r="C10" s="38" t="s">
        <v>30</v>
      </c>
      <c r="D10" s="28">
        <v>4000</v>
      </c>
    </row>
    <row r="11" spans="2:4">
      <c r="C11" s="38" t="s">
        <v>31</v>
      </c>
      <c r="D11" s="28">
        <v>6000</v>
      </c>
    </row>
    <row r="12" spans="2:4">
      <c r="C12" s="38" t="s">
        <v>32</v>
      </c>
      <c r="D12" s="28">
        <v>6000</v>
      </c>
    </row>
    <row r="13" spans="2:4">
      <c r="C13" s="38" t="s">
        <v>33</v>
      </c>
      <c r="D13" s="28">
        <v>9000</v>
      </c>
    </row>
    <row r="14" spans="2:4">
      <c r="C14" s="38" t="s">
        <v>34</v>
      </c>
      <c r="D14" s="28">
        <v>9000</v>
      </c>
    </row>
    <row r="15" spans="2:4">
      <c r="C15" s="38" t="s">
        <v>35</v>
      </c>
      <c r="D15" s="28">
        <v>9000</v>
      </c>
    </row>
    <row r="16" spans="2:4">
      <c r="C16" s="38" t="s">
        <v>36</v>
      </c>
      <c r="D16" s="28">
        <v>9000</v>
      </c>
    </row>
    <row r="17" spans="3:4">
      <c r="C17" s="38" t="s">
        <v>37</v>
      </c>
      <c r="D17" s="28">
        <v>9000</v>
      </c>
    </row>
    <row r="18" spans="3:4">
      <c r="C18" s="38" t="s">
        <v>38</v>
      </c>
      <c r="D18" s="28">
        <v>9000</v>
      </c>
    </row>
    <row r="19" spans="3:4">
      <c r="C19" s="38" t="s">
        <v>39</v>
      </c>
      <c r="D19" s="28">
        <v>9000</v>
      </c>
    </row>
    <row r="20" spans="3:4">
      <c r="C20" s="38" t="s">
        <v>40</v>
      </c>
      <c r="D20" s="28">
        <v>9000</v>
      </c>
    </row>
    <row r="21" spans="3:4">
      <c r="C21" s="38" t="s">
        <v>41</v>
      </c>
      <c r="D21" s="28">
        <v>9000</v>
      </c>
    </row>
    <row r="22" spans="3:4">
      <c r="C22" s="38" t="s">
        <v>42</v>
      </c>
      <c r="D22" s="28">
        <v>9000</v>
      </c>
    </row>
    <row r="23" spans="3:4">
      <c r="C23" s="38" t="s">
        <v>43</v>
      </c>
      <c r="D23" s="28">
        <v>6750</v>
      </c>
    </row>
    <row r="24" spans="3:4">
      <c r="C24" s="38" t="s">
        <v>44</v>
      </c>
      <c r="D24" s="28">
        <v>6750</v>
      </c>
    </row>
    <row r="25" spans="3:4">
      <c r="C25" s="38" t="s">
        <v>45</v>
      </c>
      <c r="D25" s="28">
        <v>6750</v>
      </c>
    </row>
    <row r="26" spans="3:4">
      <c r="C26" s="38" t="s">
        <v>46</v>
      </c>
      <c r="D26" s="28">
        <v>0</v>
      </c>
    </row>
    <row r="27" spans="3:4">
      <c r="C27" s="38" t="s">
        <v>47</v>
      </c>
      <c r="D27" s="28">
        <v>0</v>
      </c>
    </row>
    <row r="28" spans="3:4">
      <c r="C28" s="38" t="s">
        <v>48</v>
      </c>
      <c r="D28" s="28">
        <v>0</v>
      </c>
    </row>
    <row r="29" spans="3:4">
      <c r="C29" s="38" t="s">
        <v>49</v>
      </c>
      <c r="D29" s="28">
        <v>0</v>
      </c>
    </row>
    <row r="30" spans="3:4">
      <c r="C30" s="38" t="s">
        <v>50</v>
      </c>
      <c r="D30" s="28">
        <v>0</v>
      </c>
    </row>
    <row r="31" spans="3:4">
      <c r="C31" s="38" t="s">
        <v>51</v>
      </c>
      <c r="D31" s="28">
        <v>0</v>
      </c>
    </row>
    <row r="32" spans="3:4">
      <c r="C32" s="38" t="s">
        <v>52</v>
      </c>
      <c r="D32" s="28">
        <v>0</v>
      </c>
    </row>
    <row r="33" spans="3:4">
      <c r="C33" s="38" t="s">
        <v>53</v>
      </c>
      <c r="D33" s="28">
        <v>0</v>
      </c>
    </row>
    <row r="34" spans="3:4">
      <c r="C34" s="39" t="s">
        <v>54</v>
      </c>
      <c r="D34" s="3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0B0B-6166-4447-B41D-58CDE3EF9A2C}">
  <dimension ref="C4:G36"/>
  <sheetViews>
    <sheetView topLeftCell="A16" workbookViewId="0">
      <selection activeCell="C4" sqref="C4:E36"/>
    </sheetView>
  </sheetViews>
  <sheetFormatPr defaultColWidth="11.42578125" defaultRowHeight="15"/>
  <cols>
    <col min="4" max="4" width="15.42578125" customWidth="1"/>
    <col min="5" max="5" width="16.5703125" customWidth="1"/>
    <col min="7" max="7" width="22.7109375" customWidth="1"/>
  </cols>
  <sheetData>
    <row r="4" spans="3:7" ht="28.5">
      <c r="C4" s="24" t="s">
        <v>55</v>
      </c>
      <c r="D4" s="32" t="s">
        <v>21</v>
      </c>
      <c r="E4" s="33" t="s">
        <v>56</v>
      </c>
      <c r="G4" s="1" t="s">
        <v>57</v>
      </c>
    </row>
    <row r="5" spans="3:7">
      <c r="C5" s="27">
        <v>2018</v>
      </c>
      <c r="D5" s="23" t="s">
        <v>58</v>
      </c>
      <c r="E5" s="34">
        <v>782.4</v>
      </c>
    </row>
    <row r="6" spans="3:7">
      <c r="C6" s="27">
        <v>2018</v>
      </c>
      <c r="D6" s="23" t="s">
        <v>59</v>
      </c>
      <c r="E6" s="34">
        <v>785.1</v>
      </c>
    </row>
    <row r="7" spans="3:7">
      <c r="C7" s="27">
        <v>2018</v>
      </c>
      <c r="D7" s="23" t="s">
        <v>60</v>
      </c>
      <c r="E7" s="34">
        <v>781.3</v>
      </c>
    </row>
    <row r="8" spans="3:7">
      <c r="C8" s="27">
        <v>2018</v>
      </c>
      <c r="D8" s="23" t="s">
        <v>61</v>
      </c>
      <c r="E8" s="34">
        <v>784.5</v>
      </c>
    </row>
    <row r="9" spans="3:7">
      <c r="C9" s="27">
        <v>2019</v>
      </c>
      <c r="D9" s="23" t="s">
        <v>58</v>
      </c>
      <c r="E9" s="34">
        <v>792.1</v>
      </c>
    </row>
    <row r="10" spans="3:7">
      <c r="C10" s="27">
        <v>2019</v>
      </c>
      <c r="D10" s="23" t="s">
        <v>59</v>
      </c>
      <c r="E10" s="34">
        <v>791.8</v>
      </c>
    </row>
    <row r="11" spans="3:7">
      <c r="C11" s="27">
        <v>2019</v>
      </c>
      <c r="D11" s="23" t="s">
        <v>60</v>
      </c>
      <c r="E11" s="34">
        <v>795.2</v>
      </c>
    </row>
    <row r="12" spans="3:7">
      <c r="C12" s="27">
        <v>2019</v>
      </c>
      <c r="D12" s="23" t="s">
        <v>61</v>
      </c>
      <c r="E12" s="34">
        <v>794.9</v>
      </c>
    </row>
    <row r="13" spans="3:7">
      <c r="C13" s="27">
        <v>2020</v>
      </c>
      <c r="D13" s="23" t="s">
        <v>58</v>
      </c>
      <c r="E13" s="34">
        <v>780.5</v>
      </c>
    </row>
    <row r="14" spans="3:7">
      <c r="C14" s="27">
        <v>2020</v>
      </c>
      <c r="D14" s="23" t="s">
        <v>59</v>
      </c>
      <c r="E14" s="34">
        <v>704.2</v>
      </c>
    </row>
    <row r="15" spans="3:7">
      <c r="C15" s="27">
        <v>2020</v>
      </c>
      <c r="D15" s="23" t="s">
        <v>60</v>
      </c>
      <c r="E15" s="34">
        <v>767.8</v>
      </c>
    </row>
    <row r="16" spans="3:7">
      <c r="C16" s="27">
        <v>2020</v>
      </c>
      <c r="D16" s="23" t="s">
        <v>61</v>
      </c>
      <c r="E16" s="34">
        <v>773.5</v>
      </c>
    </row>
    <row r="17" spans="3:5">
      <c r="C17" s="27">
        <v>2021</v>
      </c>
      <c r="D17" s="23" t="s">
        <v>58</v>
      </c>
      <c r="E17" s="34">
        <v>762.1</v>
      </c>
    </row>
    <row r="18" spans="3:5">
      <c r="C18" s="27">
        <v>2021</v>
      </c>
      <c r="D18" s="23" t="s">
        <v>59</v>
      </c>
      <c r="E18" s="34">
        <v>778.9</v>
      </c>
    </row>
    <row r="19" spans="3:5">
      <c r="C19" s="27">
        <v>2021</v>
      </c>
      <c r="D19" s="23" t="s">
        <v>60</v>
      </c>
      <c r="E19" s="34">
        <v>785.6</v>
      </c>
    </row>
    <row r="20" spans="3:5">
      <c r="C20" s="27">
        <v>2021</v>
      </c>
      <c r="D20" s="23" t="s">
        <v>61</v>
      </c>
      <c r="E20" s="34">
        <v>783.2</v>
      </c>
    </row>
    <row r="21" spans="3:5">
      <c r="C21" s="27">
        <v>2022</v>
      </c>
      <c r="D21" s="23" t="s">
        <v>58</v>
      </c>
      <c r="E21" s="34">
        <v>791.4</v>
      </c>
    </row>
    <row r="22" spans="3:5">
      <c r="C22" s="27">
        <v>2022</v>
      </c>
      <c r="D22" s="23" t="s">
        <v>59</v>
      </c>
      <c r="E22" s="34">
        <v>790.8</v>
      </c>
    </row>
    <row r="23" spans="3:5">
      <c r="C23" s="27">
        <v>2022</v>
      </c>
      <c r="D23" s="23" t="s">
        <v>60</v>
      </c>
      <c r="E23" s="34">
        <v>794.1</v>
      </c>
    </row>
    <row r="24" spans="3:5">
      <c r="C24" s="27">
        <v>2022</v>
      </c>
      <c r="D24" s="23" t="s">
        <v>61</v>
      </c>
      <c r="E24" s="34">
        <v>790.2</v>
      </c>
    </row>
    <row r="25" spans="3:5">
      <c r="C25" s="27">
        <v>2023</v>
      </c>
      <c r="D25" s="23" t="s">
        <v>58</v>
      </c>
      <c r="E25" s="34">
        <v>790.9</v>
      </c>
    </row>
    <row r="26" spans="3:5">
      <c r="C26" s="27">
        <v>2023</v>
      </c>
      <c r="D26" s="23" t="s">
        <v>59</v>
      </c>
      <c r="E26" s="34">
        <v>791.5</v>
      </c>
    </row>
    <row r="27" spans="3:5">
      <c r="C27" s="27">
        <v>2023</v>
      </c>
      <c r="D27" s="23" t="s">
        <v>60</v>
      </c>
      <c r="E27" s="34">
        <v>791.1</v>
      </c>
    </row>
    <row r="28" spans="3:5">
      <c r="C28" s="27">
        <v>2023</v>
      </c>
      <c r="D28" s="23" t="s">
        <v>61</v>
      </c>
      <c r="E28" s="34">
        <v>788.5</v>
      </c>
    </row>
    <row r="29" spans="3:5">
      <c r="C29" s="27">
        <v>2024</v>
      </c>
      <c r="D29" s="23" t="s">
        <v>58</v>
      </c>
      <c r="E29" s="34">
        <v>790.1</v>
      </c>
    </row>
    <row r="30" spans="3:5">
      <c r="C30" s="27">
        <v>2024</v>
      </c>
      <c r="D30" s="23" t="s">
        <v>59</v>
      </c>
      <c r="E30" s="34">
        <v>789.3</v>
      </c>
    </row>
    <row r="31" spans="3:5">
      <c r="C31" s="27">
        <v>2024</v>
      </c>
      <c r="D31" s="23" t="s">
        <v>60</v>
      </c>
      <c r="E31" s="34">
        <v>790.5</v>
      </c>
    </row>
    <row r="32" spans="3:5">
      <c r="C32" s="27">
        <v>2024</v>
      </c>
      <c r="D32" s="23" t="s">
        <v>61</v>
      </c>
      <c r="E32" s="34">
        <v>790</v>
      </c>
    </row>
    <row r="33" spans="3:5">
      <c r="C33" s="27">
        <v>2025</v>
      </c>
      <c r="D33" s="23" t="s">
        <v>58</v>
      </c>
      <c r="E33" s="34">
        <v>791.2</v>
      </c>
    </row>
    <row r="34" spans="3:5">
      <c r="C34" s="27">
        <v>2025</v>
      </c>
      <c r="D34" s="23" t="s">
        <v>59</v>
      </c>
      <c r="E34" s="34">
        <v>792</v>
      </c>
    </row>
    <row r="35" spans="3:5">
      <c r="C35" s="27">
        <v>2025</v>
      </c>
      <c r="D35" s="23" t="s">
        <v>60</v>
      </c>
      <c r="E35" s="34">
        <v>792.8</v>
      </c>
    </row>
    <row r="36" spans="3:5">
      <c r="C36" s="29">
        <v>2025</v>
      </c>
      <c r="D36" s="35" t="s">
        <v>61</v>
      </c>
      <c r="E36" s="36">
        <v>793.5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81F4-1C02-4514-91DE-FC057F34AB3F}">
  <dimension ref="A1:E36"/>
  <sheetViews>
    <sheetView topLeftCell="B16" workbookViewId="0">
      <selection activeCell="C4" sqref="C4:E36"/>
    </sheetView>
  </sheetViews>
  <sheetFormatPr defaultColWidth="11.42578125" defaultRowHeight="15"/>
  <cols>
    <col min="1" max="1" width="44.5703125" bestFit="1" customWidth="1"/>
    <col min="2" max="2" width="48" bestFit="1" customWidth="1"/>
    <col min="5" max="5" width="13.85546875" bestFit="1" customWidth="1"/>
  </cols>
  <sheetData>
    <row r="1" spans="1:5">
      <c r="A1" t="s">
        <v>62</v>
      </c>
      <c r="B1" t="s">
        <v>63</v>
      </c>
    </row>
    <row r="4" spans="1:5">
      <c r="C4" s="37" t="s">
        <v>64</v>
      </c>
      <c r="D4" s="25" t="s">
        <v>65</v>
      </c>
      <c r="E4" s="26" t="s">
        <v>66</v>
      </c>
    </row>
    <row r="5" spans="1:5">
      <c r="C5" s="38">
        <v>2018</v>
      </c>
      <c r="D5" s="7" t="s">
        <v>58</v>
      </c>
      <c r="E5" s="28">
        <v>0</v>
      </c>
    </row>
    <row r="6" spans="1:5">
      <c r="C6" s="38">
        <v>2018</v>
      </c>
      <c r="D6" s="7" t="s">
        <v>59</v>
      </c>
      <c r="E6" s="28">
        <v>0</v>
      </c>
    </row>
    <row r="7" spans="1:5">
      <c r="C7" s="38">
        <v>2018</v>
      </c>
      <c r="D7" s="7" t="s">
        <v>60</v>
      </c>
      <c r="E7" s="28">
        <v>0</v>
      </c>
    </row>
    <row r="8" spans="1:5">
      <c r="C8" s="38">
        <v>2018</v>
      </c>
      <c r="D8" s="7" t="s">
        <v>61</v>
      </c>
      <c r="E8" s="28">
        <v>0</v>
      </c>
    </row>
    <row r="9" spans="1:5">
      <c r="C9" s="38">
        <v>2019</v>
      </c>
      <c r="D9" s="7" t="s">
        <v>58</v>
      </c>
      <c r="E9" s="28">
        <v>0</v>
      </c>
    </row>
    <row r="10" spans="1:5">
      <c r="C10" s="38">
        <v>2019</v>
      </c>
      <c r="D10" s="7" t="s">
        <v>59</v>
      </c>
      <c r="E10" s="28">
        <v>0</v>
      </c>
    </row>
    <row r="11" spans="1:5">
      <c r="C11" s="38">
        <v>2019</v>
      </c>
      <c r="D11" s="7" t="s">
        <v>60</v>
      </c>
      <c r="E11" s="28">
        <v>0</v>
      </c>
    </row>
    <row r="12" spans="1:5">
      <c r="C12" s="38">
        <v>2019</v>
      </c>
      <c r="D12" s="7" t="s">
        <v>61</v>
      </c>
      <c r="E12" s="28">
        <v>0</v>
      </c>
    </row>
    <row r="13" spans="1:5">
      <c r="C13" s="38">
        <v>2020</v>
      </c>
      <c r="D13" s="7" t="s">
        <v>58</v>
      </c>
      <c r="E13" s="28">
        <v>0</v>
      </c>
    </row>
    <row r="14" spans="1:5">
      <c r="C14" s="38">
        <v>2020</v>
      </c>
      <c r="D14" s="7" t="s">
        <v>59</v>
      </c>
      <c r="E14" s="28">
        <v>0</v>
      </c>
    </row>
    <row r="15" spans="1:5">
      <c r="C15" s="38">
        <v>2020</v>
      </c>
      <c r="D15" s="7" t="s">
        <v>60</v>
      </c>
      <c r="E15" s="28">
        <v>0</v>
      </c>
    </row>
    <row r="16" spans="1:5">
      <c r="C16" s="38">
        <v>2020</v>
      </c>
      <c r="D16" s="7" t="s">
        <v>61</v>
      </c>
      <c r="E16" s="28">
        <v>0</v>
      </c>
    </row>
    <row r="17" spans="3:5">
      <c r="C17" s="38">
        <v>2021</v>
      </c>
      <c r="D17" s="7" t="s">
        <v>58</v>
      </c>
      <c r="E17" s="28">
        <v>0</v>
      </c>
    </row>
    <row r="18" spans="3:5">
      <c r="C18" s="38">
        <v>2021</v>
      </c>
      <c r="D18" s="7" t="s">
        <v>59</v>
      </c>
      <c r="E18" s="28">
        <v>0</v>
      </c>
    </row>
    <row r="19" spans="3:5">
      <c r="C19" s="38">
        <v>2021</v>
      </c>
      <c r="D19" s="7" t="s">
        <v>60</v>
      </c>
      <c r="E19" s="28">
        <v>0</v>
      </c>
    </row>
    <row r="20" spans="3:5">
      <c r="C20" s="38">
        <v>2021</v>
      </c>
      <c r="D20" s="7" t="s">
        <v>61</v>
      </c>
      <c r="E20" s="28">
        <v>0</v>
      </c>
    </row>
    <row r="21" spans="3:5">
      <c r="C21" s="38">
        <v>2022</v>
      </c>
      <c r="D21" s="7" t="s">
        <v>58</v>
      </c>
      <c r="E21" s="28">
        <v>0</v>
      </c>
    </row>
    <row r="22" spans="3:5">
      <c r="C22" s="38">
        <v>2022</v>
      </c>
      <c r="D22" s="7" t="s">
        <v>59</v>
      </c>
      <c r="E22" s="28">
        <v>0</v>
      </c>
    </row>
    <row r="23" spans="3:5">
      <c r="C23" s="38">
        <v>2022</v>
      </c>
      <c r="D23" s="7" t="s">
        <v>60</v>
      </c>
      <c r="E23" s="28">
        <v>1.25</v>
      </c>
    </row>
    <row r="24" spans="3:5">
      <c r="C24" s="38">
        <v>2022</v>
      </c>
      <c r="D24" s="7" t="s">
        <v>61</v>
      </c>
      <c r="E24" s="28">
        <v>2.5</v>
      </c>
    </row>
    <row r="25" spans="3:5">
      <c r="C25" s="38">
        <v>2023</v>
      </c>
      <c r="D25" s="7" t="s">
        <v>58</v>
      </c>
      <c r="E25" s="28">
        <v>3.5</v>
      </c>
    </row>
    <row r="26" spans="3:5">
      <c r="C26" s="38">
        <v>2023</v>
      </c>
      <c r="D26" s="7" t="s">
        <v>59</v>
      </c>
      <c r="E26" s="28">
        <v>4</v>
      </c>
    </row>
    <row r="27" spans="3:5">
      <c r="C27" s="38">
        <v>2023</v>
      </c>
      <c r="D27" s="7" t="s">
        <v>60</v>
      </c>
      <c r="E27" s="28">
        <v>4.5</v>
      </c>
    </row>
    <row r="28" spans="3:5">
      <c r="C28" s="38">
        <v>2023</v>
      </c>
      <c r="D28" s="7" t="s">
        <v>61</v>
      </c>
      <c r="E28" s="28">
        <v>4.5</v>
      </c>
    </row>
    <row r="29" spans="3:5">
      <c r="C29" s="38">
        <v>2024</v>
      </c>
      <c r="D29" s="7" t="s">
        <v>58</v>
      </c>
      <c r="E29" s="28">
        <v>4.5</v>
      </c>
    </row>
    <row r="30" spans="3:5">
      <c r="C30" s="38">
        <v>2024</v>
      </c>
      <c r="D30" s="7" t="s">
        <v>59</v>
      </c>
      <c r="E30" s="28">
        <v>4.25</v>
      </c>
    </row>
    <row r="31" spans="3:5">
      <c r="C31" s="38">
        <v>2024</v>
      </c>
      <c r="D31" s="7" t="s">
        <v>60</v>
      </c>
      <c r="E31" s="28">
        <v>3.65</v>
      </c>
    </row>
    <row r="32" spans="3:5">
      <c r="C32" s="38">
        <v>2024</v>
      </c>
      <c r="D32" s="7" t="s">
        <v>61</v>
      </c>
      <c r="E32" s="28">
        <v>3.4</v>
      </c>
    </row>
    <row r="33" spans="3:5">
      <c r="C33" s="38">
        <v>2025</v>
      </c>
      <c r="D33" s="7" t="s">
        <v>58</v>
      </c>
      <c r="E33" s="28">
        <v>3</v>
      </c>
    </row>
    <row r="34" spans="3:5">
      <c r="C34" s="38">
        <v>2025</v>
      </c>
      <c r="D34" s="7" t="s">
        <v>59</v>
      </c>
      <c r="E34" s="28">
        <v>2.75</v>
      </c>
    </row>
    <row r="35" spans="3:5">
      <c r="C35" s="38">
        <v>2025</v>
      </c>
      <c r="D35" s="7" t="s">
        <v>60</v>
      </c>
      <c r="E35" s="28">
        <v>2.5</v>
      </c>
    </row>
    <row r="36" spans="3:5">
      <c r="C36" s="39">
        <v>2025</v>
      </c>
      <c r="D36" s="30" t="s">
        <v>61</v>
      </c>
      <c r="E36" s="31">
        <v>2.25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DA29-CD8D-48D1-965A-276C1E50C0ED}">
  <dimension ref="C5:E35"/>
  <sheetViews>
    <sheetView workbookViewId="0">
      <selection activeCell="E35" sqref="C5:E35"/>
    </sheetView>
  </sheetViews>
  <sheetFormatPr defaultColWidth="11.42578125" defaultRowHeight="15"/>
  <cols>
    <col min="8" max="8" width="33.42578125" bestFit="1" customWidth="1"/>
  </cols>
  <sheetData>
    <row r="5" spans="3:5" ht="43.5">
      <c r="C5" s="24" t="s">
        <v>55</v>
      </c>
      <c r="D5" s="32" t="s">
        <v>21</v>
      </c>
      <c r="E5" s="33" t="s">
        <v>67</v>
      </c>
    </row>
    <row r="6" spans="3:5">
      <c r="C6" s="27">
        <v>2018</v>
      </c>
      <c r="D6" s="23" t="s">
        <v>58</v>
      </c>
      <c r="E6" s="34">
        <v>12500</v>
      </c>
    </row>
    <row r="7" spans="3:5">
      <c r="C7" s="27">
        <v>2018</v>
      </c>
      <c r="D7" s="23" t="s">
        <v>59</v>
      </c>
      <c r="E7" s="34">
        <v>13500</v>
      </c>
    </row>
    <row r="8" spans="3:5">
      <c r="C8" s="27">
        <v>2018</v>
      </c>
      <c r="D8" s="23" t="s">
        <v>60</v>
      </c>
      <c r="E8" s="34">
        <v>14800</v>
      </c>
    </row>
    <row r="9" spans="3:5">
      <c r="C9" s="27">
        <v>2018</v>
      </c>
      <c r="D9" s="23" t="s">
        <v>61</v>
      </c>
      <c r="E9" s="34">
        <v>16100</v>
      </c>
    </row>
    <row r="10" spans="3:5">
      <c r="C10" s="27">
        <v>2019</v>
      </c>
      <c r="D10" s="23" t="s">
        <v>58</v>
      </c>
      <c r="E10" s="34">
        <v>17400</v>
      </c>
    </row>
    <row r="11" spans="3:5">
      <c r="C11" s="27">
        <v>2019</v>
      </c>
      <c r="D11" s="23" t="s">
        <v>59</v>
      </c>
      <c r="E11" s="34">
        <v>18900</v>
      </c>
    </row>
    <row r="12" spans="3:5">
      <c r="C12" s="27">
        <v>2019</v>
      </c>
      <c r="D12" s="23" t="s">
        <v>60</v>
      </c>
      <c r="E12" s="34">
        <v>20500</v>
      </c>
    </row>
    <row r="13" spans="3:5">
      <c r="C13" s="27">
        <v>2019</v>
      </c>
      <c r="D13" s="23" t="s">
        <v>61</v>
      </c>
      <c r="E13" s="34">
        <v>23800</v>
      </c>
    </row>
    <row r="14" spans="3:5">
      <c r="C14" s="27">
        <v>2020</v>
      </c>
      <c r="D14" s="23" t="s">
        <v>58</v>
      </c>
      <c r="E14" s="34">
        <v>26200</v>
      </c>
    </row>
    <row r="15" spans="3:5">
      <c r="C15" s="27">
        <v>2020</v>
      </c>
      <c r="D15" s="23" t="s">
        <v>59</v>
      </c>
      <c r="E15" s="34">
        <v>29100</v>
      </c>
    </row>
    <row r="16" spans="3:5">
      <c r="C16" s="27">
        <v>2020</v>
      </c>
      <c r="D16" s="23" t="s">
        <v>60</v>
      </c>
      <c r="E16" s="34">
        <v>32500</v>
      </c>
    </row>
    <row r="17" spans="3:5">
      <c r="C17" s="27">
        <v>2020</v>
      </c>
      <c r="D17" s="23" t="s">
        <v>61</v>
      </c>
      <c r="E17" s="34">
        <v>37200</v>
      </c>
    </row>
    <row r="18" spans="3:5">
      <c r="C18" s="27">
        <v>2021</v>
      </c>
      <c r="D18" s="23" t="s">
        <v>58</v>
      </c>
      <c r="E18" s="34">
        <v>41800</v>
      </c>
    </row>
    <row r="19" spans="3:5">
      <c r="C19" s="27">
        <v>2021</v>
      </c>
      <c r="D19" s="23" t="s">
        <v>59</v>
      </c>
      <c r="E19" s="34">
        <v>44600</v>
      </c>
    </row>
    <row r="20" spans="3:5">
      <c r="C20" s="27">
        <v>2021</v>
      </c>
      <c r="D20" s="23" t="s">
        <v>60</v>
      </c>
      <c r="E20" s="34">
        <v>48500</v>
      </c>
    </row>
    <row r="21" spans="3:5">
      <c r="C21" s="27">
        <v>2021</v>
      </c>
      <c r="D21" s="23" t="s">
        <v>61</v>
      </c>
      <c r="E21" s="34">
        <v>53100</v>
      </c>
    </row>
    <row r="22" spans="3:5">
      <c r="C22" s="27">
        <v>2022</v>
      </c>
      <c r="D22" s="23" t="s">
        <v>58</v>
      </c>
      <c r="E22" s="34">
        <v>57500</v>
      </c>
    </row>
    <row r="23" spans="3:5">
      <c r="C23" s="27">
        <v>2022</v>
      </c>
      <c r="D23" s="23" t="s">
        <v>59</v>
      </c>
      <c r="E23" s="34">
        <v>63800</v>
      </c>
    </row>
    <row r="24" spans="3:5">
      <c r="C24" s="27">
        <v>2022</v>
      </c>
      <c r="D24" s="23" t="s">
        <v>60</v>
      </c>
      <c r="E24" s="34">
        <v>69400</v>
      </c>
    </row>
    <row r="25" spans="3:5">
      <c r="C25" s="27">
        <v>2022</v>
      </c>
      <c r="D25" s="23" t="s">
        <v>61</v>
      </c>
      <c r="E25" s="34">
        <v>77800</v>
      </c>
    </row>
    <row r="26" spans="3:5">
      <c r="C26" s="27">
        <v>2023</v>
      </c>
      <c r="D26" s="23" t="s">
        <v>58</v>
      </c>
      <c r="E26" s="34">
        <v>85300</v>
      </c>
    </row>
    <row r="27" spans="3:5">
      <c r="C27" s="27">
        <v>2023</v>
      </c>
      <c r="D27" s="23" t="s">
        <v>59</v>
      </c>
      <c r="E27" s="34">
        <v>92500</v>
      </c>
    </row>
    <row r="28" spans="3:5">
      <c r="C28" s="27">
        <v>2023</v>
      </c>
      <c r="D28" s="23" t="s">
        <v>60</v>
      </c>
      <c r="E28" s="34">
        <v>101400</v>
      </c>
    </row>
    <row r="29" spans="3:5">
      <c r="C29" s="27">
        <v>2023</v>
      </c>
      <c r="D29" s="23" t="s">
        <v>61</v>
      </c>
      <c r="E29" s="34">
        <v>112500</v>
      </c>
    </row>
    <row r="30" spans="3:5">
      <c r="C30" s="27">
        <v>2024</v>
      </c>
      <c r="D30" s="23" t="s">
        <v>58</v>
      </c>
      <c r="E30" s="34">
        <v>118200</v>
      </c>
    </row>
    <row r="31" spans="3:5">
      <c r="C31" s="27">
        <v>2024</v>
      </c>
      <c r="D31" s="23" t="s">
        <v>59</v>
      </c>
      <c r="E31" s="34">
        <v>123400</v>
      </c>
    </row>
    <row r="32" spans="3:5">
      <c r="C32" s="27">
        <v>2024</v>
      </c>
      <c r="D32" s="23" t="s">
        <v>60</v>
      </c>
      <c r="E32" s="34">
        <v>128900</v>
      </c>
    </row>
    <row r="33" spans="3:5">
      <c r="C33" s="27">
        <v>2024</v>
      </c>
      <c r="D33" s="23" t="s">
        <v>61</v>
      </c>
      <c r="E33" s="34">
        <v>134000</v>
      </c>
    </row>
    <row r="34" spans="3:5">
      <c r="C34" s="27">
        <v>2025</v>
      </c>
      <c r="D34" s="23" t="s">
        <v>58</v>
      </c>
      <c r="E34" s="34">
        <v>140000</v>
      </c>
    </row>
    <row r="35" spans="3:5">
      <c r="C35" s="29">
        <v>2025</v>
      </c>
      <c r="D35" s="35" t="s">
        <v>59</v>
      </c>
      <c r="E35" s="36">
        <v>146000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6F77-B0E9-44DD-BB7D-FD795282CE1C}">
  <dimension ref="C1:G34"/>
  <sheetViews>
    <sheetView topLeftCell="A14" workbookViewId="0">
      <selection activeCell="D4" sqref="D4:G34"/>
    </sheetView>
  </sheetViews>
  <sheetFormatPr defaultColWidth="11.42578125" defaultRowHeight="15"/>
  <cols>
    <col min="3" max="3" width="26.140625" bestFit="1" customWidth="1"/>
  </cols>
  <sheetData>
    <row r="1" spans="3:7">
      <c r="C1" t="s">
        <v>68</v>
      </c>
    </row>
    <row r="4" spans="3:7" ht="43.5">
      <c r="D4" s="22" t="s">
        <v>55</v>
      </c>
      <c r="E4" s="22" t="s">
        <v>21</v>
      </c>
      <c r="F4" s="22" t="s">
        <v>69</v>
      </c>
      <c r="G4" s="22" t="s">
        <v>70</v>
      </c>
    </row>
    <row r="5" spans="3:7">
      <c r="D5" s="22">
        <v>2018</v>
      </c>
      <c r="E5" s="23" t="s">
        <v>58</v>
      </c>
      <c r="F5" s="23">
        <v>0.28999999999999998</v>
      </c>
      <c r="G5" s="23">
        <v>1.35</v>
      </c>
    </row>
    <row r="6" spans="3:7">
      <c r="D6" s="22">
        <v>2018</v>
      </c>
      <c r="E6" s="23" t="s">
        <v>59</v>
      </c>
      <c r="F6" s="23">
        <v>0.28999999999999998</v>
      </c>
      <c r="G6" s="23">
        <v>1.42</v>
      </c>
    </row>
    <row r="7" spans="3:7">
      <c r="D7" s="22">
        <v>2018</v>
      </c>
      <c r="E7" s="23" t="s">
        <v>60</v>
      </c>
      <c r="F7" s="23">
        <v>0.3</v>
      </c>
      <c r="G7" s="23">
        <v>1.48</v>
      </c>
    </row>
    <row r="8" spans="3:7">
      <c r="D8" s="22">
        <v>2018</v>
      </c>
      <c r="E8" s="23" t="s">
        <v>61</v>
      </c>
      <c r="F8" s="23">
        <v>0.3</v>
      </c>
      <c r="G8" s="23">
        <v>1.45</v>
      </c>
    </row>
    <row r="9" spans="3:7">
      <c r="D9" s="22">
        <v>2019</v>
      </c>
      <c r="E9" s="23" t="s">
        <v>58</v>
      </c>
      <c r="F9" s="23">
        <v>0.3</v>
      </c>
      <c r="G9" s="23">
        <v>1.36</v>
      </c>
    </row>
    <row r="10" spans="3:7">
      <c r="D10" s="22">
        <v>2019</v>
      </c>
      <c r="E10" s="23" t="s">
        <v>59</v>
      </c>
      <c r="F10" s="23">
        <v>0.3</v>
      </c>
      <c r="G10" s="23">
        <v>1.45</v>
      </c>
    </row>
    <row r="11" spans="3:7">
      <c r="D11" s="22">
        <v>2019</v>
      </c>
      <c r="E11" s="23" t="s">
        <v>60</v>
      </c>
      <c r="F11" s="23">
        <v>0.31</v>
      </c>
      <c r="G11" s="23">
        <v>1.42</v>
      </c>
    </row>
    <row r="12" spans="3:7">
      <c r="D12" s="22">
        <v>2019</v>
      </c>
      <c r="E12" s="23" t="s">
        <v>61</v>
      </c>
      <c r="F12" s="23">
        <v>0.31</v>
      </c>
      <c r="G12" s="23">
        <v>1.39</v>
      </c>
    </row>
    <row r="13" spans="3:7">
      <c r="D13" s="22">
        <v>2020</v>
      </c>
      <c r="E13" s="23" t="s">
        <v>58</v>
      </c>
      <c r="F13" s="23">
        <v>0.31</v>
      </c>
      <c r="G13" s="23">
        <v>1.35</v>
      </c>
    </row>
    <row r="14" spans="3:7">
      <c r="D14" s="22">
        <v>2020</v>
      </c>
      <c r="E14" s="23" t="s">
        <v>59</v>
      </c>
      <c r="F14" s="23">
        <v>0.31</v>
      </c>
      <c r="G14" s="23">
        <v>1.1499999999999999</v>
      </c>
    </row>
    <row r="15" spans="3:7">
      <c r="D15" s="22">
        <v>2020</v>
      </c>
      <c r="E15" s="23" t="s">
        <v>60</v>
      </c>
      <c r="F15" s="23">
        <v>0.31</v>
      </c>
      <c r="G15" s="23">
        <v>1.26</v>
      </c>
    </row>
    <row r="16" spans="3:7">
      <c r="D16" s="22">
        <v>2020</v>
      </c>
      <c r="E16" s="23" t="s">
        <v>61</v>
      </c>
      <c r="F16" s="23">
        <v>0.31</v>
      </c>
      <c r="G16" s="23">
        <v>1.23</v>
      </c>
    </row>
    <row r="17" spans="4:7">
      <c r="D17" s="22">
        <v>2021</v>
      </c>
      <c r="E17" s="23" t="s">
        <v>58</v>
      </c>
      <c r="F17" s="23">
        <v>0.32</v>
      </c>
      <c r="G17" s="23">
        <v>1.38</v>
      </c>
    </row>
    <row r="18" spans="4:7">
      <c r="D18" s="22">
        <v>2021</v>
      </c>
      <c r="E18" s="23" t="s">
        <v>59</v>
      </c>
      <c r="F18" s="23">
        <v>0.32</v>
      </c>
      <c r="G18" s="23">
        <v>1.5</v>
      </c>
    </row>
    <row r="19" spans="4:7">
      <c r="D19" s="22">
        <v>2021</v>
      </c>
      <c r="E19" s="23" t="s">
        <v>60</v>
      </c>
      <c r="F19" s="23">
        <v>0.33</v>
      </c>
      <c r="G19" s="23">
        <v>1.62</v>
      </c>
    </row>
    <row r="20" spans="4:7">
      <c r="D20" s="22">
        <v>2021</v>
      </c>
      <c r="E20" s="23" t="s">
        <v>61</v>
      </c>
      <c r="F20" s="23">
        <v>0.33</v>
      </c>
      <c r="G20" s="23">
        <v>1.7</v>
      </c>
    </row>
    <row r="21" spans="4:7">
      <c r="D21" s="22">
        <v>2022</v>
      </c>
      <c r="E21" s="23" t="s">
        <v>58</v>
      </c>
      <c r="F21" s="23">
        <v>0.37</v>
      </c>
      <c r="G21" s="23">
        <v>2.0499999999999998</v>
      </c>
    </row>
    <row r="22" spans="4:7">
      <c r="D22" s="22">
        <v>2022</v>
      </c>
      <c r="E22" s="23" t="s">
        <v>59</v>
      </c>
      <c r="F22" s="23">
        <v>0.37</v>
      </c>
      <c r="G22" s="23">
        <v>2.1</v>
      </c>
    </row>
    <row r="23" spans="4:7">
      <c r="D23" s="22">
        <v>2022</v>
      </c>
      <c r="E23" s="23" t="s">
        <v>60</v>
      </c>
      <c r="F23" s="23">
        <v>0.4</v>
      </c>
      <c r="G23" s="23">
        <v>1.85</v>
      </c>
    </row>
    <row r="24" spans="4:7">
      <c r="D24" s="22">
        <v>2022</v>
      </c>
      <c r="E24" s="23" t="s">
        <v>61</v>
      </c>
      <c r="F24" s="23">
        <v>0.4</v>
      </c>
      <c r="G24" s="23">
        <v>1.8</v>
      </c>
    </row>
    <row r="25" spans="4:7">
      <c r="D25" s="22">
        <v>2023</v>
      </c>
      <c r="E25" s="23" t="s">
        <v>58</v>
      </c>
      <c r="F25" s="23">
        <v>0.45</v>
      </c>
      <c r="G25" s="23">
        <v>1.75</v>
      </c>
    </row>
    <row r="26" spans="4:7">
      <c r="D26" s="22">
        <v>2023</v>
      </c>
      <c r="E26" s="23" t="s">
        <v>59</v>
      </c>
      <c r="F26" s="23">
        <v>0.45</v>
      </c>
      <c r="G26" s="23">
        <v>1.8</v>
      </c>
    </row>
    <row r="27" spans="4:7">
      <c r="D27" s="22">
        <v>2023</v>
      </c>
      <c r="E27" s="23" t="s">
        <v>60</v>
      </c>
      <c r="F27" s="23">
        <v>0.41</v>
      </c>
      <c r="G27" s="23">
        <v>1.85</v>
      </c>
    </row>
    <row r="28" spans="4:7">
      <c r="D28" s="22">
        <v>2023</v>
      </c>
      <c r="E28" s="23" t="s">
        <v>61</v>
      </c>
      <c r="F28" s="23">
        <v>0.41</v>
      </c>
      <c r="G28" s="23">
        <v>1.78</v>
      </c>
    </row>
    <row r="29" spans="4:7">
      <c r="D29" s="22">
        <v>2024</v>
      </c>
      <c r="E29" s="23" t="s">
        <v>58</v>
      </c>
      <c r="F29" s="23">
        <v>0.4</v>
      </c>
      <c r="G29" s="23">
        <v>1.76</v>
      </c>
    </row>
    <row r="30" spans="4:7">
      <c r="D30" s="22">
        <v>2024</v>
      </c>
      <c r="E30" s="23" t="s">
        <v>59</v>
      </c>
      <c r="F30" s="23">
        <v>0.4</v>
      </c>
      <c r="G30" s="23">
        <v>1.82</v>
      </c>
    </row>
    <row r="31" spans="4:7">
      <c r="D31" s="22">
        <v>2024</v>
      </c>
      <c r="E31" s="23" t="s">
        <v>60</v>
      </c>
      <c r="F31" s="23">
        <v>0.39</v>
      </c>
      <c r="G31" s="23">
        <v>1.7</v>
      </c>
    </row>
    <row r="32" spans="4:7">
      <c r="D32" s="22">
        <v>2024</v>
      </c>
      <c r="E32" s="23" t="s">
        <v>61</v>
      </c>
      <c r="F32" s="23">
        <v>0.39</v>
      </c>
      <c r="G32" s="23">
        <v>1.68</v>
      </c>
    </row>
    <row r="33" spans="4:7">
      <c r="D33" s="22">
        <v>2025</v>
      </c>
      <c r="E33" s="23" t="s">
        <v>58</v>
      </c>
      <c r="F33" s="23">
        <v>0.38</v>
      </c>
      <c r="G33" s="23">
        <v>1.7</v>
      </c>
    </row>
    <row r="34" spans="4:7">
      <c r="D34" s="22">
        <v>2025</v>
      </c>
      <c r="E34" s="23" t="s">
        <v>59</v>
      </c>
      <c r="F34" s="23">
        <v>0.38</v>
      </c>
      <c r="G34" s="23">
        <v>1.72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3D95-C391-4B17-B150-442F995DD627}">
  <dimension ref="A1:E38"/>
  <sheetViews>
    <sheetView topLeftCell="A22" workbookViewId="0">
      <selection activeCell="C6" sqref="C6:E36"/>
    </sheetView>
  </sheetViews>
  <sheetFormatPr defaultColWidth="11.42578125" defaultRowHeight="15"/>
  <cols>
    <col min="1" max="1" width="16.42578125" bestFit="1" customWidth="1"/>
    <col min="5" max="5" width="14.85546875" customWidth="1"/>
  </cols>
  <sheetData>
    <row r="1" spans="1:5">
      <c r="A1" t="s">
        <v>71</v>
      </c>
    </row>
    <row r="2" spans="1:5">
      <c r="A2" t="s">
        <v>72</v>
      </c>
    </row>
    <row r="6" spans="1:5" ht="28.5">
      <c r="C6" s="24" t="s">
        <v>55</v>
      </c>
      <c r="D6" s="32" t="s">
        <v>21</v>
      </c>
      <c r="E6" s="33" t="s">
        <v>73</v>
      </c>
    </row>
    <row r="7" spans="1:5">
      <c r="C7" s="27">
        <v>2018</v>
      </c>
      <c r="D7" s="23" t="s">
        <v>58</v>
      </c>
      <c r="E7" s="34">
        <v>13.4</v>
      </c>
    </row>
    <row r="8" spans="1:5">
      <c r="C8" s="27">
        <v>2018</v>
      </c>
      <c r="D8" s="23" t="s">
        <v>59</v>
      </c>
      <c r="E8" s="34">
        <v>12.5</v>
      </c>
    </row>
    <row r="9" spans="1:5">
      <c r="C9" s="27">
        <v>2018</v>
      </c>
      <c r="D9" s="23" t="s">
        <v>60</v>
      </c>
      <c r="E9" s="34">
        <v>11.6</v>
      </c>
    </row>
    <row r="10" spans="1:5">
      <c r="C10" s="27">
        <v>2018</v>
      </c>
      <c r="D10" s="23" t="s">
        <v>61</v>
      </c>
      <c r="E10" s="34">
        <v>10.5</v>
      </c>
    </row>
    <row r="11" spans="1:5">
      <c r="C11" s="27">
        <v>2019</v>
      </c>
      <c r="D11" s="23" t="s">
        <v>58</v>
      </c>
      <c r="E11" s="34">
        <v>9.6999999999999993</v>
      </c>
    </row>
    <row r="12" spans="1:5">
      <c r="C12" s="27">
        <v>2019</v>
      </c>
      <c r="D12" s="23" t="s">
        <v>59</v>
      </c>
      <c r="E12" s="34">
        <v>9.3000000000000007</v>
      </c>
    </row>
    <row r="13" spans="1:5">
      <c r="C13" s="27">
        <v>2019</v>
      </c>
      <c r="D13" s="23" t="s">
        <v>60</v>
      </c>
      <c r="E13" s="34">
        <v>8.6</v>
      </c>
    </row>
    <row r="14" spans="1:5">
      <c r="C14" s="27">
        <v>2019</v>
      </c>
      <c r="D14" s="23" t="s">
        <v>61</v>
      </c>
      <c r="E14" s="34">
        <v>7.2</v>
      </c>
    </row>
    <row r="15" spans="1:5">
      <c r="C15" s="27">
        <v>2020</v>
      </c>
      <c r="D15" s="23" t="s">
        <v>58</v>
      </c>
      <c r="E15" s="34">
        <v>6.3</v>
      </c>
    </row>
    <row r="16" spans="1:5">
      <c r="C16" s="27">
        <v>2020</v>
      </c>
      <c r="D16" s="23" t="s">
        <v>59</v>
      </c>
      <c r="E16" s="34">
        <v>5.9</v>
      </c>
    </row>
    <row r="17" spans="3:5">
      <c r="C17" s="27">
        <v>2020</v>
      </c>
      <c r="D17" s="23" t="s">
        <v>60</v>
      </c>
      <c r="E17" s="34">
        <v>5.0999999999999996</v>
      </c>
    </row>
    <row r="18" spans="3:5">
      <c r="C18" s="27">
        <v>2020</v>
      </c>
      <c r="D18" s="23" t="s">
        <v>61</v>
      </c>
      <c r="E18" s="34">
        <v>5.4</v>
      </c>
    </row>
    <row r="19" spans="3:5">
      <c r="C19" s="27">
        <v>2021</v>
      </c>
      <c r="D19" s="23" t="s">
        <v>58</v>
      </c>
      <c r="E19" s="34">
        <v>7.5</v>
      </c>
    </row>
    <row r="20" spans="3:5">
      <c r="C20" s="27">
        <v>2021</v>
      </c>
      <c r="D20" s="23" t="s">
        <v>59</v>
      </c>
      <c r="E20" s="34">
        <v>10.8</v>
      </c>
    </row>
    <row r="21" spans="3:5">
      <c r="C21" s="27">
        <v>2021</v>
      </c>
      <c r="D21" s="23" t="s">
        <v>60</v>
      </c>
      <c r="E21" s="34">
        <v>15.2</v>
      </c>
    </row>
    <row r="22" spans="3:5">
      <c r="C22" s="27">
        <v>2021</v>
      </c>
      <c r="D22" s="23" t="s">
        <v>61</v>
      </c>
      <c r="E22" s="34">
        <v>24.5</v>
      </c>
    </row>
    <row r="23" spans="3:5">
      <c r="C23" s="27">
        <v>2022</v>
      </c>
      <c r="D23" s="23" t="s">
        <v>58</v>
      </c>
      <c r="E23" s="34">
        <v>44.6</v>
      </c>
    </row>
    <row r="24" spans="3:5">
      <c r="C24" s="27">
        <v>2022</v>
      </c>
      <c r="D24" s="23" t="s">
        <v>59</v>
      </c>
      <c r="E24" s="34">
        <v>61</v>
      </c>
    </row>
    <row r="25" spans="3:5">
      <c r="C25" s="27">
        <v>2022</v>
      </c>
      <c r="D25" s="23" t="s">
        <v>60</v>
      </c>
      <c r="E25" s="34">
        <v>72</v>
      </c>
    </row>
    <row r="26" spans="3:5">
      <c r="C26" s="27">
        <v>2022</v>
      </c>
      <c r="D26" s="23" t="s">
        <v>61</v>
      </c>
      <c r="E26" s="34">
        <v>78</v>
      </c>
    </row>
    <row r="27" spans="3:5">
      <c r="C27" s="27">
        <v>2023</v>
      </c>
      <c r="D27" s="23" t="s">
        <v>58</v>
      </c>
      <c r="E27" s="34">
        <v>60.5</v>
      </c>
    </row>
    <row r="28" spans="3:5">
      <c r="C28" s="27">
        <v>2023</v>
      </c>
      <c r="D28" s="23" t="s">
        <v>59</v>
      </c>
      <c r="E28" s="34">
        <v>32</v>
      </c>
    </row>
    <row r="29" spans="3:5">
      <c r="C29" s="27">
        <v>2023</v>
      </c>
      <c r="D29" s="23" t="s">
        <v>60</v>
      </c>
      <c r="E29" s="34">
        <v>23</v>
      </c>
    </row>
    <row r="30" spans="3:5">
      <c r="C30" s="27">
        <v>2023</v>
      </c>
      <c r="D30" s="23" t="s">
        <v>61</v>
      </c>
      <c r="E30" s="34">
        <v>16.600000000000001</v>
      </c>
    </row>
    <row r="31" spans="3:5">
      <c r="C31" s="27">
        <v>2024</v>
      </c>
      <c r="D31" s="23" t="s">
        <v>58</v>
      </c>
      <c r="E31" s="34">
        <v>13.3</v>
      </c>
    </row>
    <row r="32" spans="3:5">
      <c r="C32" s="27">
        <v>2024</v>
      </c>
      <c r="D32" s="23" t="s">
        <v>59</v>
      </c>
      <c r="E32" s="34">
        <v>12.8</v>
      </c>
    </row>
    <row r="33" spans="3:5">
      <c r="C33" s="27">
        <v>2024</v>
      </c>
      <c r="D33" s="23" t="s">
        <v>60</v>
      </c>
      <c r="E33" s="34">
        <v>11.4</v>
      </c>
    </row>
    <row r="34" spans="3:5">
      <c r="C34" s="27">
        <v>2024</v>
      </c>
      <c r="D34" s="23" t="s">
        <v>61</v>
      </c>
      <c r="E34" s="34">
        <v>10.199999999999999</v>
      </c>
    </row>
    <row r="35" spans="3:5">
      <c r="C35" s="27">
        <v>2025</v>
      </c>
      <c r="D35" s="23" t="s">
        <v>58</v>
      </c>
      <c r="E35" s="34">
        <v>10.9</v>
      </c>
    </row>
    <row r="36" spans="3:5">
      <c r="C36" s="29">
        <v>2025</v>
      </c>
      <c r="D36" s="35" t="s">
        <v>59</v>
      </c>
      <c r="E36" s="36">
        <v>11.4</v>
      </c>
    </row>
    <row r="38" spans="3:5">
      <c r="C38" s="1"/>
      <c r="D38" s="1"/>
      <c r="E3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F01F-17A4-4607-89FF-73F53555FCB0}">
  <dimension ref="C3:K33"/>
  <sheetViews>
    <sheetView workbookViewId="0">
      <selection activeCell="L37" sqref="L37"/>
    </sheetView>
  </sheetViews>
  <sheetFormatPr defaultColWidth="11.42578125" defaultRowHeight="15"/>
  <cols>
    <col min="4" max="4" width="16.28515625" bestFit="1" customWidth="1"/>
    <col min="5" max="5" width="11.7109375" bestFit="1" customWidth="1"/>
  </cols>
  <sheetData>
    <row r="3" spans="3:11">
      <c r="C3" s="24" t="s">
        <v>21</v>
      </c>
      <c r="D3" s="25" t="s">
        <v>74</v>
      </c>
      <c r="E3" s="25" t="s">
        <v>75</v>
      </c>
      <c r="F3" s="25" t="s">
        <v>76</v>
      </c>
      <c r="G3" s="25" t="s">
        <v>77</v>
      </c>
      <c r="H3" s="25" t="s">
        <v>78</v>
      </c>
      <c r="I3" s="25" t="s">
        <v>79</v>
      </c>
      <c r="J3" s="25" t="s">
        <v>80</v>
      </c>
      <c r="K3" s="26" t="s">
        <v>81</v>
      </c>
    </row>
    <row r="4" spans="3:11">
      <c r="C4" s="27" t="s">
        <v>82</v>
      </c>
      <c r="D4" s="7">
        <v>9102</v>
      </c>
      <c r="E4" s="7">
        <v>4000</v>
      </c>
      <c r="F4" s="7">
        <v>782400000</v>
      </c>
      <c r="G4" s="7">
        <v>0</v>
      </c>
      <c r="H4" s="7">
        <v>12500</v>
      </c>
      <c r="I4" s="7">
        <v>0.28999999999999998</v>
      </c>
      <c r="J4" s="7">
        <v>1.35</v>
      </c>
      <c r="K4" s="28">
        <v>13400</v>
      </c>
    </row>
    <row r="5" spans="3:11">
      <c r="C5" s="27" t="s">
        <v>24</v>
      </c>
      <c r="D5" s="7">
        <v>8132</v>
      </c>
      <c r="E5" s="7">
        <v>4000</v>
      </c>
      <c r="F5" s="7">
        <v>785100000</v>
      </c>
      <c r="G5" s="7">
        <v>0</v>
      </c>
      <c r="H5" s="7">
        <v>13500</v>
      </c>
      <c r="I5" s="7">
        <v>0.28999999999999998</v>
      </c>
      <c r="J5" s="7">
        <v>1.42</v>
      </c>
      <c r="K5" s="28">
        <v>12500</v>
      </c>
    </row>
    <row r="6" spans="3:11">
      <c r="C6" s="27" t="s">
        <v>25</v>
      </c>
      <c r="D6" s="7">
        <v>7340</v>
      </c>
      <c r="E6" s="7">
        <v>4000</v>
      </c>
      <c r="F6" s="7">
        <v>781300000</v>
      </c>
      <c r="G6" s="7">
        <v>0</v>
      </c>
      <c r="H6" s="7">
        <v>14800</v>
      </c>
      <c r="I6" s="7">
        <v>0.3</v>
      </c>
      <c r="J6" s="7">
        <v>1.48</v>
      </c>
      <c r="K6" s="28">
        <v>11600</v>
      </c>
    </row>
    <row r="7" spans="3:11">
      <c r="C7" s="27" t="s">
        <v>26</v>
      </c>
      <c r="D7" s="7">
        <v>11488</v>
      </c>
      <c r="E7" s="7">
        <v>4000</v>
      </c>
      <c r="F7" s="7">
        <v>784500000</v>
      </c>
      <c r="G7" s="7">
        <v>0</v>
      </c>
      <c r="H7" s="7">
        <v>16100</v>
      </c>
      <c r="I7" s="7">
        <v>0.3</v>
      </c>
      <c r="J7" s="7">
        <v>1.45</v>
      </c>
      <c r="K7" s="28">
        <v>10500</v>
      </c>
    </row>
    <row r="8" spans="3:11">
      <c r="C8" s="27" t="s">
        <v>27</v>
      </c>
      <c r="D8" s="7">
        <v>15901</v>
      </c>
      <c r="E8" s="7">
        <v>4000</v>
      </c>
      <c r="F8" s="7">
        <v>792100000</v>
      </c>
      <c r="G8" s="7">
        <v>0</v>
      </c>
      <c r="H8" s="7">
        <v>17400</v>
      </c>
      <c r="I8" s="7">
        <v>0.3</v>
      </c>
      <c r="J8" s="7">
        <v>1.36</v>
      </c>
      <c r="K8" s="28">
        <v>9700</v>
      </c>
    </row>
    <row r="9" spans="3:11">
      <c r="C9" s="27" t="s">
        <v>28</v>
      </c>
      <c r="D9" s="7">
        <v>15158</v>
      </c>
      <c r="E9" s="7">
        <v>4000</v>
      </c>
      <c r="F9" s="7">
        <v>791800000</v>
      </c>
      <c r="G9" s="7">
        <v>0</v>
      </c>
      <c r="H9" s="7">
        <v>18900</v>
      </c>
      <c r="I9" s="7">
        <v>0.3</v>
      </c>
      <c r="J9" s="7">
        <v>1.45</v>
      </c>
      <c r="K9" s="28">
        <v>9300</v>
      </c>
    </row>
    <row r="10" spans="3:11">
      <c r="C10" s="27" t="s">
        <v>29</v>
      </c>
      <c r="D10" s="7">
        <v>16844</v>
      </c>
      <c r="E10" s="7">
        <v>4000</v>
      </c>
      <c r="F10" s="7">
        <v>795200000</v>
      </c>
      <c r="G10" s="7">
        <v>0</v>
      </c>
      <c r="H10" s="7">
        <v>20500</v>
      </c>
      <c r="I10" s="7">
        <v>0.31</v>
      </c>
      <c r="J10" s="7">
        <v>1.42</v>
      </c>
      <c r="K10" s="28">
        <v>8600</v>
      </c>
    </row>
    <row r="11" spans="3:11">
      <c r="C11" s="27" t="s">
        <v>30</v>
      </c>
      <c r="D11" s="7">
        <v>15378</v>
      </c>
      <c r="E11" s="7">
        <v>4000</v>
      </c>
      <c r="F11" s="7">
        <v>794900000</v>
      </c>
      <c r="G11" s="7">
        <v>0</v>
      </c>
      <c r="H11" s="7">
        <v>23800</v>
      </c>
      <c r="I11" s="7">
        <v>0.31</v>
      </c>
      <c r="J11" s="7">
        <v>1.39</v>
      </c>
      <c r="K11" s="28">
        <v>7200</v>
      </c>
    </row>
    <row r="12" spans="3:11">
      <c r="C12" s="27" t="s">
        <v>31</v>
      </c>
      <c r="D12" s="7">
        <v>25975</v>
      </c>
      <c r="E12" s="7">
        <v>6000</v>
      </c>
      <c r="F12" s="7">
        <v>780500000</v>
      </c>
      <c r="G12" s="7">
        <v>0</v>
      </c>
      <c r="H12" s="7">
        <v>26200</v>
      </c>
      <c r="I12" s="7">
        <v>0.31</v>
      </c>
      <c r="J12" s="7">
        <v>1.35</v>
      </c>
      <c r="K12" s="28">
        <v>6300</v>
      </c>
    </row>
    <row r="13" spans="3:11">
      <c r="C13" s="27" t="s">
        <v>32</v>
      </c>
      <c r="D13" s="7">
        <v>18332</v>
      </c>
      <c r="E13" s="7">
        <v>6000</v>
      </c>
      <c r="F13" s="7">
        <v>704200000</v>
      </c>
      <c r="G13" s="7">
        <v>0</v>
      </c>
      <c r="H13" s="7">
        <v>29100</v>
      </c>
      <c r="I13" s="7">
        <v>0.31</v>
      </c>
      <c r="J13" s="7">
        <v>1.1499999999999999</v>
      </c>
      <c r="K13" s="28">
        <v>5900</v>
      </c>
    </row>
    <row r="14" spans="3:11">
      <c r="C14" s="27" t="s">
        <v>33</v>
      </c>
      <c r="D14" s="7">
        <v>54062</v>
      </c>
      <c r="E14" s="7">
        <v>9000</v>
      </c>
      <c r="F14" s="7">
        <v>767800000</v>
      </c>
      <c r="G14" s="7">
        <v>0</v>
      </c>
      <c r="H14" s="7">
        <v>32500</v>
      </c>
      <c r="I14" s="7">
        <v>0.31</v>
      </c>
      <c r="J14" s="7">
        <v>1.26</v>
      </c>
      <c r="K14" s="28">
        <v>5100</v>
      </c>
    </row>
    <row r="15" spans="3:11">
      <c r="C15" s="27" t="s">
        <v>34</v>
      </c>
      <c r="D15" s="7">
        <v>65794</v>
      </c>
      <c r="E15" s="7">
        <v>9000</v>
      </c>
      <c r="F15" s="7">
        <v>773500000</v>
      </c>
      <c r="G15" s="7">
        <v>0</v>
      </c>
      <c r="H15" s="7">
        <v>37200</v>
      </c>
      <c r="I15" s="7">
        <v>0.31</v>
      </c>
      <c r="J15" s="7">
        <v>1.23</v>
      </c>
      <c r="K15" s="28">
        <v>5400</v>
      </c>
    </row>
    <row r="16" spans="3:11">
      <c r="C16" s="27" t="s">
        <v>35</v>
      </c>
      <c r="D16" s="7">
        <v>64694</v>
      </c>
      <c r="E16" s="7">
        <v>9000</v>
      </c>
      <c r="F16" s="7">
        <v>762100000</v>
      </c>
      <c r="G16" s="7">
        <v>0</v>
      </c>
      <c r="H16" s="7">
        <v>41800</v>
      </c>
      <c r="I16" s="7">
        <v>0.32</v>
      </c>
      <c r="J16" s="7">
        <v>1.38</v>
      </c>
      <c r="K16" s="28">
        <v>7500</v>
      </c>
    </row>
    <row r="17" spans="3:11">
      <c r="C17" s="27" t="s">
        <v>36</v>
      </c>
      <c r="D17" s="7">
        <v>84022</v>
      </c>
      <c r="E17" s="7">
        <v>9000</v>
      </c>
      <c r="F17" s="7">
        <v>778900000</v>
      </c>
      <c r="G17" s="7">
        <v>0</v>
      </c>
      <c r="H17" s="7">
        <v>44600</v>
      </c>
      <c r="I17" s="7">
        <v>0.32</v>
      </c>
      <c r="J17" s="7">
        <v>1.5</v>
      </c>
      <c r="K17" s="28">
        <v>10800</v>
      </c>
    </row>
    <row r="18" spans="3:11">
      <c r="C18" s="27" t="s">
        <v>37</v>
      </c>
      <c r="D18" s="7">
        <v>87979</v>
      </c>
      <c r="E18" s="7">
        <v>9000</v>
      </c>
      <c r="F18" s="7">
        <v>785600000</v>
      </c>
      <c r="G18" s="7">
        <v>0</v>
      </c>
      <c r="H18" s="7">
        <v>48500</v>
      </c>
      <c r="I18" s="7">
        <v>0.33</v>
      </c>
      <c r="J18" s="7">
        <v>1.62</v>
      </c>
      <c r="K18" s="28">
        <v>15200</v>
      </c>
    </row>
    <row r="19" spans="3:11">
      <c r="C19" s="27" t="s">
        <v>38</v>
      </c>
      <c r="D19" s="7">
        <v>119266</v>
      </c>
      <c r="E19" s="7">
        <v>9000</v>
      </c>
      <c r="F19" s="7">
        <v>783200000</v>
      </c>
      <c r="G19" s="7">
        <v>0</v>
      </c>
      <c r="H19" s="7">
        <v>53100</v>
      </c>
      <c r="I19" s="7">
        <v>0.33</v>
      </c>
      <c r="J19" s="7">
        <v>1.7</v>
      </c>
      <c r="K19" s="28">
        <v>24500</v>
      </c>
    </row>
    <row r="20" spans="3:11">
      <c r="C20" s="27" t="s">
        <v>39</v>
      </c>
      <c r="D20" s="7">
        <v>83672</v>
      </c>
      <c r="E20" s="7">
        <v>9000</v>
      </c>
      <c r="F20" s="7">
        <v>791400000</v>
      </c>
      <c r="G20" s="7">
        <v>0</v>
      </c>
      <c r="H20" s="7">
        <v>57500</v>
      </c>
      <c r="I20" s="7">
        <v>0.37</v>
      </c>
      <c r="J20" s="7">
        <v>2.0499999999999998</v>
      </c>
      <c r="K20" s="28">
        <v>44600</v>
      </c>
    </row>
    <row r="21" spans="3:11">
      <c r="C21" s="27" t="s">
        <v>40</v>
      </c>
      <c r="D21" s="7">
        <v>83591</v>
      </c>
      <c r="E21" s="7">
        <v>9000</v>
      </c>
      <c r="F21" s="7">
        <v>790800000</v>
      </c>
      <c r="G21" s="7">
        <v>0</v>
      </c>
      <c r="H21" s="7">
        <v>63800</v>
      </c>
      <c r="I21" s="7">
        <v>0.37</v>
      </c>
      <c r="J21" s="7">
        <v>2.1</v>
      </c>
      <c r="K21" s="28">
        <v>61000</v>
      </c>
    </row>
    <row r="22" spans="3:11">
      <c r="C22" s="27" t="s">
        <v>41</v>
      </c>
      <c r="D22" s="7">
        <v>105210</v>
      </c>
      <c r="E22" s="7">
        <v>9000</v>
      </c>
      <c r="F22" s="7">
        <v>794100000</v>
      </c>
      <c r="G22" s="7">
        <v>1.25</v>
      </c>
      <c r="H22" s="7">
        <v>69400</v>
      </c>
      <c r="I22" s="7">
        <v>0.4</v>
      </c>
      <c r="J22" s="7">
        <v>1.85</v>
      </c>
      <c r="K22" s="28">
        <v>72000</v>
      </c>
    </row>
    <row r="23" spans="3:11">
      <c r="C23" s="27" t="s">
        <v>42</v>
      </c>
      <c r="D23" s="7">
        <v>198086</v>
      </c>
      <c r="E23" s="7">
        <v>9000</v>
      </c>
      <c r="F23" s="7">
        <v>790200000</v>
      </c>
      <c r="G23" s="7">
        <v>2.5</v>
      </c>
      <c r="H23" s="7">
        <v>77800</v>
      </c>
      <c r="I23" s="7">
        <v>0.4</v>
      </c>
      <c r="J23" s="7">
        <v>1.8</v>
      </c>
      <c r="K23" s="28">
        <v>78000</v>
      </c>
    </row>
    <row r="24" spans="3:11">
      <c r="C24" s="27" t="s">
        <v>43</v>
      </c>
      <c r="D24" s="7">
        <v>94736</v>
      </c>
      <c r="E24" s="7">
        <v>6750</v>
      </c>
      <c r="F24" s="7">
        <v>790900000</v>
      </c>
      <c r="G24" s="7">
        <v>3.5</v>
      </c>
      <c r="H24" s="7">
        <v>85300</v>
      </c>
      <c r="I24" s="7">
        <v>0.45</v>
      </c>
      <c r="J24" s="7">
        <v>1.75</v>
      </c>
      <c r="K24" s="28">
        <v>60500</v>
      </c>
    </row>
    <row r="25" spans="3:11">
      <c r="C25" s="27" t="s">
        <v>44</v>
      </c>
      <c r="D25" s="7">
        <v>125508</v>
      </c>
      <c r="E25" s="7">
        <v>6750</v>
      </c>
      <c r="F25" s="7">
        <v>791500000</v>
      </c>
      <c r="G25" s="7">
        <v>4</v>
      </c>
      <c r="H25" s="7">
        <v>92500</v>
      </c>
      <c r="I25" s="7">
        <v>0.45</v>
      </c>
      <c r="J25" s="7">
        <v>1.8</v>
      </c>
      <c r="K25" s="28">
        <v>32000</v>
      </c>
    </row>
    <row r="26" spans="3:11">
      <c r="C26" s="27" t="s">
        <v>45</v>
      </c>
      <c r="D26" s="7">
        <v>167045</v>
      </c>
      <c r="E26" s="7">
        <v>6750</v>
      </c>
      <c r="F26" s="7">
        <v>791100000</v>
      </c>
      <c r="G26" s="7">
        <v>4.5</v>
      </c>
      <c r="H26" s="7">
        <v>101400</v>
      </c>
      <c r="I26" s="7">
        <v>0.41</v>
      </c>
      <c r="J26" s="7">
        <v>1.85</v>
      </c>
      <c r="K26" s="28">
        <v>23000</v>
      </c>
    </row>
    <row r="27" spans="3:11">
      <c r="C27" s="27" t="s">
        <v>46</v>
      </c>
      <c r="D27" s="7">
        <v>136930</v>
      </c>
      <c r="E27" s="7">
        <v>0</v>
      </c>
      <c r="F27" s="7">
        <v>788500000</v>
      </c>
      <c r="G27" s="7">
        <v>4.5</v>
      </c>
      <c r="H27" s="7">
        <v>112500</v>
      </c>
      <c r="I27" s="7">
        <v>0.41</v>
      </c>
      <c r="J27" s="7">
        <v>1.78</v>
      </c>
      <c r="K27" s="28">
        <v>16600</v>
      </c>
    </row>
    <row r="28" spans="3:11">
      <c r="C28" s="27" t="s">
        <v>47</v>
      </c>
      <c r="D28" s="7">
        <v>8133</v>
      </c>
      <c r="E28" s="7">
        <v>0</v>
      </c>
      <c r="F28" s="7">
        <v>790100000</v>
      </c>
      <c r="G28" s="7">
        <v>4.5</v>
      </c>
      <c r="H28" s="7">
        <v>118200</v>
      </c>
      <c r="I28" s="7">
        <v>0.4</v>
      </c>
      <c r="J28" s="7">
        <v>1.76</v>
      </c>
      <c r="K28" s="28">
        <v>13300</v>
      </c>
    </row>
    <row r="29" spans="3:11">
      <c r="C29" s="27" t="s">
        <v>48</v>
      </c>
      <c r="D29" s="7">
        <v>102788</v>
      </c>
      <c r="E29" s="7">
        <v>0</v>
      </c>
      <c r="F29" s="7">
        <v>789300000</v>
      </c>
      <c r="G29" s="7">
        <v>4.25</v>
      </c>
      <c r="H29" s="7">
        <v>123400</v>
      </c>
      <c r="I29" s="7">
        <v>0.4</v>
      </c>
      <c r="J29" s="7">
        <v>1.82</v>
      </c>
      <c r="K29" s="28">
        <v>12800</v>
      </c>
    </row>
    <row r="30" spans="3:11">
      <c r="C30" s="27" t="s">
        <v>49</v>
      </c>
      <c r="D30" s="7">
        <v>92265</v>
      </c>
      <c r="E30" s="7">
        <v>0</v>
      </c>
      <c r="F30" s="7">
        <v>790500000</v>
      </c>
      <c r="G30" s="7">
        <v>3.65</v>
      </c>
      <c r="H30" s="7">
        <v>128900</v>
      </c>
      <c r="I30" s="7">
        <v>0.39</v>
      </c>
      <c r="J30" s="7">
        <v>1.7</v>
      </c>
      <c r="K30" s="28">
        <v>11400</v>
      </c>
    </row>
    <row r="31" spans="3:11">
      <c r="C31" s="27" t="s">
        <v>50</v>
      </c>
      <c r="D31" s="7">
        <v>104219</v>
      </c>
      <c r="E31" s="7">
        <v>0</v>
      </c>
      <c r="F31" s="7">
        <v>790000000</v>
      </c>
      <c r="G31" s="7">
        <v>3.4</v>
      </c>
      <c r="H31" s="7">
        <v>134000</v>
      </c>
      <c r="I31" s="7">
        <v>0.39</v>
      </c>
      <c r="J31" s="7">
        <v>1.68</v>
      </c>
      <c r="K31" s="28">
        <v>10200</v>
      </c>
    </row>
    <row r="32" spans="3:11">
      <c r="C32" s="27" t="s">
        <v>51</v>
      </c>
      <c r="D32" s="7">
        <v>112968</v>
      </c>
      <c r="E32" s="7">
        <v>0</v>
      </c>
      <c r="F32" s="7">
        <v>791200000</v>
      </c>
      <c r="G32" s="7">
        <v>3</v>
      </c>
      <c r="H32" s="7">
        <v>140000</v>
      </c>
      <c r="I32" s="7">
        <v>0.38</v>
      </c>
      <c r="J32" s="7">
        <v>1.7</v>
      </c>
      <c r="K32" s="28">
        <v>10900</v>
      </c>
    </row>
    <row r="33" spans="3:11">
      <c r="C33" s="29" t="s">
        <v>52</v>
      </c>
      <c r="D33" s="30">
        <v>135758</v>
      </c>
      <c r="E33" s="30">
        <v>0</v>
      </c>
      <c r="F33" s="30">
        <v>792000000</v>
      </c>
      <c r="G33" s="30">
        <v>2.75</v>
      </c>
      <c r="H33" s="30">
        <v>146000</v>
      </c>
      <c r="I33" s="30">
        <v>0.38</v>
      </c>
      <c r="J33" s="30">
        <v>1.72</v>
      </c>
      <c r="K33" s="31">
        <v>11400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A8CACA83DA71489B21BD2696A91DDE" ma:contentTypeVersion="13" ma:contentTypeDescription="Crear nuevo documento." ma:contentTypeScope="" ma:versionID="bd41b35150b7e61b4b5e0db316dfcf36">
  <xsd:schema xmlns:xsd="http://www.w3.org/2001/XMLSchema" xmlns:xs="http://www.w3.org/2001/XMLSchema" xmlns:p="http://schemas.microsoft.com/office/2006/metadata/properties" xmlns:ns3="ac7c99b6-fb78-45d6-ae8b-8d2800a16fca" xmlns:ns4="d130ca0a-b4eb-4f57-b81e-e464af51ae14" targetNamespace="http://schemas.microsoft.com/office/2006/metadata/properties" ma:root="true" ma:fieldsID="e5989cc0be72420f11c880e2415fa62e" ns3:_="" ns4:_="">
    <xsd:import namespace="ac7c99b6-fb78-45d6-ae8b-8d2800a16fca"/>
    <xsd:import namespace="d130ca0a-b4eb-4f57-b81e-e464af51ae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c99b6-fb78-45d6-ae8b-8d2800a16f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0ca0a-b4eb-4f57-b81e-e464af51ae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7c99b6-fb78-45d6-ae8b-8d2800a16fc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D795F8-D7B1-4F0B-968D-36B543EDAFDF}"/>
</file>

<file path=customXml/itemProps2.xml><?xml version="1.0" encoding="utf-8"?>
<ds:datastoreItem xmlns:ds="http://schemas.openxmlformats.org/officeDocument/2006/customXml" ds:itemID="{D97C4CAD-7F33-44F1-9EB8-D6429D1FEE43}"/>
</file>

<file path=customXml/itemProps3.xml><?xml version="1.0" encoding="utf-8"?>
<ds:datastoreItem xmlns:ds="http://schemas.openxmlformats.org/officeDocument/2006/customXml" ds:itemID="{A93FD642-F9A5-407C-B290-E26F09B87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Oriol Salmeron</dc:creator>
  <cp:keywords/>
  <dc:description/>
  <cp:lastModifiedBy/>
  <cp:revision/>
  <dcterms:created xsi:type="dcterms:W3CDTF">2025-11-19T15:27:19Z</dcterms:created>
  <dcterms:modified xsi:type="dcterms:W3CDTF">2026-07-27T07:29:33Z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0x010100B6A8CACA83DA71489B21BD2696A91DDE</vt:lpwstr>
  </property>
</Properties>
</file>